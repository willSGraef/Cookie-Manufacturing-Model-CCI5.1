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2" sheetId="1" state="visible" r:id="rId3"/>
    <sheet name="Tag Values" sheetId="2" state="visible" r:id="rId4"/>
    <sheet name="Sheet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<sst xmlns="http://schemas.openxmlformats.org/spreadsheetml/2006/main" count="1240" uniqueCount="356">
  <si>
    <t xml:space="preserve">Name</t>
  </si>
  <si>
    <t xml:space="preserve">Data Type</t>
  </si>
  <si>
    <t xml:space="preserve">Modbus Type</t>
  </si>
  <si>
    <t xml:space="preserve">OpenPLC Address</t>
  </si>
  <si>
    <t xml:space="preserve">Modbus Address</t>
  </si>
  <si>
    <t xml:space="preserve">Initial Value</t>
  </si>
  <si>
    <t xml:space="preserve">Description</t>
  </si>
  <si>
    <t xml:space="preserve">HMI</t>
  </si>
  <si>
    <t xml:space="preserve">flour_weight_low</t>
  </si>
  <si>
    <t xml:space="preserve">WORD(16 bits)</t>
  </si>
  <si>
    <t xml:space="preserve">Holding Register</t>
  </si>
  <si>
    <t xml:space="preserve">%QW116</t>
  </si>
  <si>
    <t xml:space="preserve">Flour weight (lower integer)</t>
  </si>
  <si>
    <t xml:space="preserve">Resource Allocation</t>
  </si>
  <si>
    <t xml:space="preserve">flour_weight_high</t>
  </si>
  <si>
    <t xml:space="preserve">%QW117</t>
  </si>
  <si>
    <t xml:space="preserve">Flour weight (higher integer)</t>
  </si>
  <si>
    <t xml:space="preserve">conveyor_fpm_low</t>
  </si>
  <si>
    <t xml:space="preserve">Conveyor feet per minute (lower int)</t>
  </si>
  <si>
    <t xml:space="preserve">conveyor_fpm_high</t>
  </si>
  <si>
    <t xml:space="preserve">Conveyor feet per minute (upper int)</t>
  </si>
  <si>
    <t xml:space="preserve">sugar_weight_low</t>
  </si>
  <si>
    <t xml:space="preserve">%QW218</t>
  </si>
  <si>
    <t xml:space="preserve">Sugar weight (lower integer)</t>
  </si>
  <si>
    <t xml:space="preserve">sugar_weight_high</t>
  </si>
  <si>
    <t xml:space="preserve">%QW219</t>
  </si>
  <si>
    <t xml:space="preserve">Sugar weight (higher integer)</t>
  </si>
  <si>
    <t xml:space="preserve">nitrogen_volume_low</t>
  </si>
  <si>
    <t xml:space="preserve">%QW300</t>
  </si>
  <si>
    <t xml:space="preserve">Volume of nitrogen (lower integer)</t>
  </si>
  <si>
    <t xml:space="preserve">nitrogen_volume_high</t>
  </si>
  <si>
    <t xml:space="preserve">%QW301</t>
  </si>
  <si>
    <t xml:space="preserve">Volume of nitrogen (higher integer)</t>
  </si>
  <si>
    <t xml:space="preserve">tunnel_temp_low</t>
  </si>
  <si>
    <t xml:space="preserve">%QW302</t>
  </si>
  <si>
    <t xml:space="preserve">Tunnel temperature (lower integer)</t>
  </si>
  <si>
    <t xml:space="preserve">tunnel_temp_high</t>
  </si>
  <si>
    <t xml:space="preserve">%QW303</t>
  </si>
  <si>
    <t xml:space="preserve">Tunnel temperature (higher integer)</t>
  </si>
  <si>
    <t xml:space="preserve">rv_1</t>
  </si>
  <si>
    <t xml:space="preserve">BOOL</t>
  </si>
  <si>
    <t xml:space="preserve">Discrete Output Coils</t>
  </si>
  <si>
    <t xml:space="preserve">%QX87.4</t>
  </si>
  <si>
    <t xml:space="preserve">Rotary valve 1 (flour)</t>
  </si>
  <si>
    <t xml:space="preserve">rv_2</t>
  </si>
  <si>
    <t xml:space="preserve">%QX87.5</t>
  </si>
  <si>
    <t xml:space="preserve">Rotary valve 2 (sugar)</t>
  </si>
  <si>
    <t xml:space="preserve">rv_3</t>
  </si>
  <si>
    <t xml:space="preserve">%QX87.6</t>
  </si>
  <si>
    <t xml:space="preserve">Rotary valve 3 (hopper)</t>
  </si>
  <si>
    <t xml:space="preserve">dv</t>
  </si>
  <si>
    <t xml:space="preserve">%QX87.7</t>
  </si>
  <si>
    <t xml:space="preserve">Diverter valve</t>
  </si>
  <si>
    <t xml:space="preserve">vacuum</t>
  </si>
  <si>
    <t xml:space="preserve">%QX88.0</t>
  </si>
  <si>
    <t xml:space="preserve">Vacuum on state</t>
  </si>
  <si>
    <t xml:space="preserve">mixer</t>
  </si>
  <si>
    <t xml:space="preserve">%QX88.1</t>
  </si>
  <si>
    <t xml:space="preserve">Mixer on state</t>
  </si>
  <si>
    <t xml:space="preserve">flour_alarm</t>
  </si>
  <si>
    <t xml:space="preserve">%QX88.2</t>
  </si>
  <si>
    <t xml:space="preserve">Flour alarm (if flour_weight&lt;1000)</t>
  </si>
  <si>
    <t xml:space="preserve">sugar_alarm</t>
  </si>
  <si>
    <t xml:space="preserve">%QX88.3</t>
  </si>
  <si>
    <t xml:space="preserve">Sugar alarm (if sugar_weight&lt;1000)</t>
  </si>
  <si>
    <t xml:space="preserve">hopper_alarm</t>
  </si>
  <si>
    <t xml:space="preserve">%QX88.4</t>
  </si>
  <si>
    <t xml:space="preserve">Hopper alarm (if lch&lt;100)</t>
  </si>
  <si>
    <t xml:space="preserve">vacuum_alarm</t>
  </si>
  <si>
    <t xml:space="preserve">%QX88.5</t>
  </si>
  <si>
    <t xml:space="preserve">Vacuum alarm</t>
  </si>
  <si>
    <t xml:space="preserve">vacuum_manual</t>
  </si>
  <si>
    <t xml:space="preserve">%QX88.6</t>
  </si>
  <si>
    <t xml:space="preserve">Vacuum manual control state</t>
  </si>
  <si>
    <t xml:space="preserve">wirecutter</t>
  </si>
  <si>
    <t xml:space="preserve">%QX88.7</t>
  </si>
  <si>
    <t xml:space="preserve">Wirecutter on state</t>
  </si>
  <si>
    <t xml:space="preserve">Production</t>
  </si>
  <si>
    <t xml:space="preserve">trough_transfer</t>
  </si>
  <si>
    <t xml:space="preserve">%QX89.1</t>
  </si>
  <si>
    <t xml:space="preserve">Trough transfer state</t>
  </si>
  <si>
    <t xml:space="preserve">conveyor</t>
  </si>
  <si>
    <t xml:space="preserve">%QX89.4</t>
  </si>
  <si>
    <t xml:space="preserve">Conveyor on state</t>
  </si>
  <si>
    <t xml:space="preserve">paper_cutter</t>
  </si>
  <si>
    <t xml:space="preserve">%QX89.5</t>
  </si>
  <si>
    <t xml:space="preserve">Paper cutter on state</t>
  </si>
  <si>
    <t xml:space="preserve">gv_1</t>
  </si>
  <si>
    <t xml:space="preserve">%QX89.6</t>
  </si>
  <si>
    <t xml:space="preserve">Gate valve 1 (nitrogen)</t>
  </si>
  <si>
    <t xml:space="preserve">fan_1</t>
  </si>
  <si>
    <t xml:space="preserve">%QX89.7</t>
  </si>
  <si>
    <t xml:space="preserve">Fan 1 (nitrogen tunnel)</t>
  </si>
  <si>
    <t xml:space="preserve">fan_2</t>
  </si>
  <si>
    <t xml:space="preserve">%QX90.0</t>
  </si>
  <si>
    <t xml:space="preserve">Fan 2 (nitrogen tunnel)</t>
  </si>
  <si>
    <t xml:space="preserve">fan_3</t>
  </si>
  <si>
    <t xml:space="preserve">%QX90.1</t>
  </si>
  <si>
    <t xml:space="preserve">Fan 3 (nitrogen tunnel)</t>
  </si>
  <si>
    <t xml:space="preserve">exhaust_fan</t>
  </si>
  <si>
    <t xml:space="preserve">%QX90.2</t>
  </si>
  <si>
    <t xml:space="preserve">Exhaust fan (nitrogen tunnel)</t>
  </si>
  <si>
    <t xml:space="preserve">box_maker</t>
  </si>
  <si>
    <t xml:space="preserve">%QX90.3</t>
  </si>
  <si>
    <t xml:space="preserve">Box maker on state</t>
  </si>
  <si>
    <t xml:space="preserve">Finished Good</t>
  </si>
  <si>
    <t xml:space="preserve">taper</t>
  </si>
  <si>
    <t xml:space="preserve">%QX90.4</t>
  </si>
  <si>
    <t xml:space="preserve">Taper on state</t>
  </si>
  <si>
    <t xml:space="preserve">palletizer</t>
  </si>
  <si>
    <t xml:space="preserve">%QX90.6</t>
  </si>
  <si>
    <t xml:space="preserve">Palletizer on state</t>
  </si>
  <si>
    <t xml:space="preserve">palletizer_grabbing</t>
  </si>
  <si>
    <t xml:space="preserve">%QX90.7</t>
  </si>
  <si>
    <t xml:space="preserve">Palletizer grabbing state</t>
  </si>
  <si>
    <t xml:space="preserve">wrapper</t>
  </si>
  <si>
    <t xml:space="preserve">%QX91.0</t>
  </si>
  <si>
    <t xml:space="preserve">Wrapper on state</t>
  </si>
  <si>
    <t xml:space="preserve">wrapper_conveying</t>
  </si>
  <si>
    <t xml:space="preserve">%QX91.1</t>
  </si>
  <si>
    <t xml:space="preserve">Wrapper conveyor on state</t>
  </si>
  <si>
    <t xml:space="preserve">conveyor_1</t>
  </si>
  <si>
    <t xml:space="preserve">%QX91.2</t>
  </si>
  <si>
    <t xml:space="preserve">Conveyor 1 on state</t>
  </si>
  <si>
    <t xml:space="preserve">conveyor_2</t>
  </si>
  <si>
    <t xml:space="preserve">%QX91.3</t>
  </si>
  <si>
    <t xml:space="preserve">Conveyor 2 on state</t>
  </si>
  <si>
    <t xml:space="preserve">conveyor_3</t>
  </si>
  <si>
    <t xml:space="preserve">%QX91.4</t>
  </si>
  <si>
    <t xml:space="preserve">Conveyor 3 on state</t>
  </si>
  <si>
    <t xml:space="preserve">conveyor_4</t>
  </si>
  <si>
    <t xml:space="preserve">%QX91.5</t>
  </si>
  <si>
    <t xml:space="preserve">Conveyor 4 on state</t>
  </si>
  <si>
    <t xml:space="preserve">conveyor_5</t>
  </si>
  <si>
    <t xml:space="preserve">%QX91.6</t>
  </si>
  <si>
    <t xml:space="preserve">Conveyor 5 on state</t>
  </si>
  <si>
    <t xml:space="preserve">ps_1</t>
  </si>
  <si>
    <t xml:space="preserve">%QX91.7</t>
  </si>
  <si>
    <t xml:space="preserve">Photoelectric sensor 1</t>
  </si>
  <si>
    <t xml:space="preserve">ps_2</t>
  </si>
  <si>
    <t xml:space="preserve">%QX92.0</t>
  </si>
  <si>
    <t xml:space="preserve">Photoelectric sensor 2</t>
  </si>
  <si>
    <t xml:space="preserve">ps_3</t>
  </si>
  <si>
    <t xml:space="preserve">%QX92.1</t>
  </si>
  <si>
    <t xml:space="preserve">Photoelectric sensor 3</t>
  </si>
  <si>
    <t xml:space="preserve">ps_4</t>
  </si>
  <si>
    <t xml:space="preserve">%QX92.2</t>
  </si>
  <si>
    <t xml:space="preserve">Photoelectric sensor 4</t>
  </si>
  <si>
    <t xml:space="preserve">ps_5</t>
  </si>
  <si>
    <t xml:space="preserve">%QX92.3</t>
  </si>
  <si>
    <t xml:space="preserve">Photoelectric sensor 5</t>
  </si>
  <si>
    <t xml:space="preserve">ps_6</t>
  </si>
  <si>
    <t xml:space="preserve">%QX92.4</t>
  </si>
  <si>
    <t xml:space="preserve">Photoelectric sensor 6</t>
  </si>
  <si>
    <t xml:space="preserve">bagger</t>
  </si>
  <si>
    <t xml:space="preserve">%QX92.5</t>
  </si>
  <si>
    <t xml:space="preserve">Bagger on state</t>
  </si>
  <si>
    <t xml:space="preserve">reset</t>
  </si>
  <si>
    <t xml:space="preserve">%QX125.0</t>
  </si>
  <si>
    <t xml:space="preserve">reset option for simulation</t>
  </si>
  <si>
    <t xml:space="preserve">All</t>
  </si>
  <si>
    <t xml:space="preserve">vacuum_rpm</t>
  </si>
  <si>
    <t xml:space="preserve">Vacuum RPM</t>
  </si>
  <si>
    <t xml:space="preserve">mixer_rpm</t>
  </si>
  <si>
    <t xml:space="preserve">Mixer RPM</t>
  </si>
  <si>
    <t xml:space="preserve">wirecut_cpm</t>
  </si>
  <si>
    <t xml:space="preserve">Wirecut cuts per minute</t>
  </si>
  <si>
    <t xml:space="preserve">papercut_cpm</t>
  </si>
  <si>
    <t xml:space="preserve">Papercutter cuts per minute</t>
  </si>
  <si>
    <t xml:space="preserve">palletizer_target_rotation</t>
  </si>
  <si>
    <t xml:space="preserve">%QW1012</t>
  </si>
  <si>
    <t xml:space="preserve">Palletizer arm rotation, 180, 130, or 225 degrees</t>
  </si>
  <si>
    <t xml:space="preserve">box_count</t>
  </si>
  <si>
    <t xml:space="preserve">%QW1013</t>
  </si>
  <si>
    <t xml:space="preserve">Number of boxes on the wrapper</t>
  </si>
  <si>
    <t xml:space="preserve">wrapper_wrapping</t>
  </si>
  <si>
    <t xml:space="preserve">%QX92.6</t>
  </si>
  <si>
    <t xml:space="preserve">Set to true if the wrapper is currently wrapping</t>
  </si>
  <si>
    <t xml:space="preserve">boxing</t>
  </si>
  <si>
    <t xml:space="preserve">%QX92.7</t>
  </si>
  <si>
    <t xml:space="preserve">Set to true if the boxer is currently boxing</t>
  </si>
  <si>
    <t xml:space="preserve">taping</t>
  </si>
  <si>
    <t xml:space="preserve">%QX93.0</t>
  </si>
  <si>
    <t xml:space="preserve">Set to true if the taper is currently taping</t>
  </si>
  <si>
    <t xml:space="preserve">conveying_1</t>
  </si>
  <si>
    <t xml:space="preserve">%QX93.1</t>
  </si>
  <si>
    <t xml:space="preserve">Set to true if the conveyor_1 is conveying</t>
  </si>
  <si>
    <t xml:space="preserve">conveying_2</t>
  </si>
  <si>
    <t xml:space="preserve">%QX93.2</t>
  </si>
  <si>
    <t xml:space="preserve">Set to true if the conveyor_2 is conveying</t>
  </si>
  <si>
    <t xml:space="preserve">conveying_3</t>
  </si>
  <si>
    <t xml:space="preserve">%QX93.3</t>
  </si>
  <si>
    <t xml:space="preserve">Set to true if the conveyor_3 is conveying</t>
  </si>
  <si>
    <t xml:space="preserve">conveying_4</t>
  </si>
  <si>
    <t xml:space="preserve">%QX93.4</t>
  </si>
  <si>
    <t xml:space="preserve">Set to true if the conveyor_4 is conveying</t>
  </si>
  <si>
    <t xml:space="preserve">conveying_5</t>
  </si>
  <si>
    <t xml:space="preserve">%QX93.5</t>
  </si>
  <si>
    <t xml:space="preserve">Set to true if the conveyor_5 is conveying</t>
  </si>
  <si>
    <t xml:space="preserve">palletizer_moving</t>
  </si>
  <si>
    <t xml:space="preserve">%QX93.6</t>
  </si>
  <si>
    <t xml:space="preserve">Set to true if the palletizer arm is moving</t>
  </si>
  <si>
    <t xml:space="preserve">bagging</t>
  </si>
  <si>
    <t xml:space="preserve">%QX93.7</t>
  </si>
  <si>
    <t xml:space="preserve">Set to true if the bagger is bagging</t>
  </si>
  <si>
    <t xml:space="preserve">roe_1</t>
  </si>
  <si>
    <t xml:space="preserve">%QX94.0</t>
  </si>
  <si>
    <t xml:space="preserve">Rotary optical encoder for palletizer_position 1</t>
  </si>
  <si>
    <t xml:space="preserve">roe_2</t>
  </si>
  <si>
    <t xml:space="preserve">%QX94.1</t>
  </si>
  <si>
    <t xml:space="preserve">roe_3</t>
  </si>
  <si>
    <t xml:space="preserve">%QX94.2</t>
  </si>
  <si>
    <t xml:space="preserve">Rotary optical encoder for palletizer_position 3</t>
  </si>
  <si>
    <t xml:space="preserve">OpenPLC Type</t>
  </si>
  <si>
    <t xml:space="preserve">OpenPLC address</t>
  </si>
  <si>
    <t xml:space="preserve">Modbus address</t>
  </si>
  <si>
    <t xml:space="preserve">Note</t>
  </si>
  <si>
    <t xml:space="preserve">Ics_1_high</t>
  </si>
  <si>
    <t xml:space="preserve">%QW100</t>
  </si>
  <si>
    <t xml:space="preserve">Load cell 1 for sugar (lower int)</t>
  </si>
  <si>
    <t xml:space="preserve">lcs_1_low</t>
  </si>
  <si>
    <t xml:space="preserve">%QW101</t>
  </si>
  <si>
    <t xml:space="preserve">Load cell 1 for sugar (higher int)</t>
  </si>
  <si>
    <t xml:space="preserve">Ics_2_high</t>
  </si>
  <si>
    <t xml:space="preserve">%QW102</t>
  </si>
  <si>
    <t xml:space="preserve">Load cell 2 for sugar (lower int)</t>
  </si>
  <si>
    <t xml:space="preserve">lcs_2_low</t>
  </si>
  <si>
    <t xml:space="preserve">%QW103</t>
  </si>
  <si>
    <t xml:space="preserve">Load cell 2 for sugar (higher int)</t>
  </si>
  <si>
    <t xml:space="preserve">Ics_3_high</t>
  </si>
  <si>
    <t xml:space="preserve">%QW104</t>
  </si>
  <si>
    <t xml:space="preserve">Load cell 3 for sugar (lower int)</t>
  </si>
  <si>
    <t xml:space="preserve">lcs_3_low</t>
  </si>
  <si>
    <t xml:space="preserve">%QW105</t>
  </si>
  <si>
    <t xml:space="preserve">Load cell 3 for sugar (higher int)</t>
  </si>
  <si>
    <t xml:space="preserve">Ics_4_high</t>
  </si>
  <si>
    <t xml:space="preserve">%QW106</t>
  </si>
  <si>
    <t xml:space="preserve">Load cell 4 for sugar (lower int)</t>
  </si>
  <si>
    <t xml:space="preserve">lcs_4_low</t>
  </si>
  <si>
    <t xml:space="preserve">%QW107</t>
  </si>
  <si>
    <t xml:space="preserve">Load cell 4 for sugar (higher int)</t>
  </si>
  <si>
    <t xml:space="preserve">lcf_1_high</t>
  </si>
  <si>
    <t xml:space="preserve">%QW108</t>
  </si>
  <si>
    <t xml:space="preserve">Load cell 1 for flour (lower int)</t>
  </si>
  <si>
    <t xml:space="preserve">lcf_1_low</t>
  </si>
  <si>
    <t xml:space="preserve">%QW109</t>
  </si>
  <si>
    <t xml:space="preserve">Load cell 1 for flour (higher int)</t>
  </si>
  <si>
    <t xml:space="preserve">lcf_2_high</t>
  </si>
  <si>
    <t xml:space="preserve">%QW110</t>
  </si>
  <si>
    <t xml:space="preserve">Load cell 2 for flour (lower int)</t>
  </si>
  <si>
    <t xml:space="preserve">lcf_2_low</t>
  </si>
  <si>
    <t xml:space="preserve">%QW111</t>
  </si>
  <si>
    <t xml:space="preserve">Load cell 2 for flour (higher int)</t>
  </si>
  <si>
    <t xml:space="preserve">lcf_3_high</t>
  </si>
  <si>
    <t xml:space="preserve">%QW112</t>
  </si>
  <si>
    <t xml:space="preserve">Load cell 3 for flour (lower int)</t>
  </si>
  <si>
    <t xml:space="preserve">lcf_3_low</t>
  </si>
  <si>
    <t xml:space="preserve">%QW113</t>
  </si>
  <si>
    <t xml:space="preserve">Load cell 3 for flour (higher int)</t>
  </si>
  <si>
    <t xml:space="preserve">lcf_4_high</t>
  </si>
  <si>
    <t xml:space="preserve">%QW114</t>
  </si>
  <si>
    <t xml:space="preserve">Load cell 4 for flour (lower int)</t>
  </si>
  <si>
    <t xml:space="preserve">lcf_4_low</t>
  </si>
  <si>
    <t xml:space="preserve">%QW115</t>
  </si>
  <si>
    <t xml:space="preserve">Load cell 4 for flour (higher int)</t>
  </si>
  <si>
    <t xml:space="preserve">lch_high</t>
  </si>
  <si>
    <t xml:space="preserve">%QW98</t>
  </si>
  <si>
    <t xml:space="preserve">Load cell for hopper (higher int)</t>
  </si>
  <si>
    <t xml:space="preserve">lch_low</t>
  </si>
  <si>
    <t xml:space="preserve">%QW99</t>
  </si>
  <si>
    <t xml:space="preserve">Load cell for hopper (lower int)</t>
  </si>
  <si>
    <t xml:space="preserve">%QW</t>
  </si>
  <si>
    <t xml:space="preserve">%QW1001</t>
  </si>
  <si>
    <t xml:space="preserve">mixer_freq</t>
  </si>
  <si>
    <t xml:space="preserve">%QW1002</t>
  </si>
  <si>
    <t xml:space="preserve">Mixer frequency (not implemented)</t>
  </si>
  <si>
    <t xml:space="preserve">%QW1003</t>
  </si>
  <si>
    <t xml:space="preserve">Mixer RPM (not implemented)</t>
  </si>
  <si>
    <t xml:space="preserve">%QW1005</t>
  </si>
  <si>
    <t xml:space="preserve">conveyor_fpm</t>
  </si>
  <si>
    <t xml:space="preserve">%QW1007</t>
  </si>
  <si>
    <t xml:space="preserve">Conveyor feet per minute</t>
  </si>
  <si>
    <t xml:space="preserve">lcs_1</t>
  </si>
  <si>
    <t xml:space="preserve">REAL(32 bits)</t>
  </si>
  <si>
    <t xml:space="preserve">Holding Registers</t>
  </si>
  <si>
    <t xml:space="preserve">%MD0</t>
  </si>
  <si>
    <t xml:space="preserve">Load cell 1 for sugar (combined float)</t>
  </si>
  <si>
    <t xml:space="preserve">lcs_2</t>
  </si>
  <si>
    <t xml:space="preserve">%MD1</t>
  </si>
  <si>
    <t xml:space="preserve">Load cell 2 for sugar (combined float)</t>
  </si>
  <si>
    <t xml:space="preserve">lcs_3</t>
  </si>
  <si>
    <t xml:space="preserve">%MD2</t>
  </si>
  <si>
    <t xml:space="preserve">Load cell 3 for sugar (combined float)</t>
  </si>
  <si>
    <t xml:space="preserve">lcs_4</t>
  </si>
  <si>
    <t xml:space="preserve">%MD3</t>
  </si>
  <si>
    <t xml:space="preserve">Load cell 4 for sugar (combined float)</t>
  </si>
  <si>
    <t xml:space="preserve">lcf_1</t>
  </si>
  <si>
    <t xml:space="preserve">%MD4</t>
  </si>
  <si>
    <t xml:space="preserve">Load cell 1 for flour (combined float)</t>
  </si>
  <si>
    <t xml:space="preserve">lcf_2</t>
  </si>
  <si>
    <t xml:space="preserve">%MD5</t>
  </si>
  <si>
    <t xml:space="preserve">Load cell 2 for flour (combined float)</t>
  </si>
  <si>
    <t xml:space="preserve">lcf_3</t>
  </si>
  <si>
    <t xml:space="preserve">%MD6</t>
  </si>
  <si>
    <t xml:space="preserve">Load cell 3 for flour (combined float)</t>
  </si>
  <si>
    <t xml:space="preserve">lcf_4</t>
  </si>
  <si>
    <t xml:space="preserve">%MD7</t>
  </si>
  <si>
    <t xml:space="preserve">Load cell 4 for flour (combined float)</t>
  </si>
  <si>
    <t xml:space="preserve">lch</t>
  </si>
  <si>
    <t xml:space="preserve">%MD8</t>
  </si>
  <si>
    <t xml:space="preserve">Load cell for hopper (combined float)</t>
  </si>
  <si>
    <t xml:space="preserve">flour_weight</t>
  </si>
  <si>
    <t xml:space="preserve">%MD9</t>
  </si>
  <si>
    <t xml:space="preserve">Flour weight (combined float)</t>
  </si>
  <si>
    <t xml:space="preserve">sugar_weight</t>
  </si>
  <si>
    <t xml:space="preserve">%MD10</t>
  </si>
  <si>
    <t xml:space="preserve">Sugar weight (combined float)</t>
  </si>
  <si>
    <t xml:space="preserve">sguar_weight_low</t>
  </si>
  <si>
    <t xml:space="preserve">CFM</t>
  </si>
  <si>
    <t xml:space="preserve">%MD11</t>
  </si>
  <si>
    <t xml:space="preserve">Calculated cubic feet per min of material</t>
  </si>
  <si>
    <t xml:space="preserve">trough_weight_low</t>
  </si>
  <si>
    <t xml:space="preserve">Weight for trough (lower int)</t>
  </si>
  <si>
    <t xml:space="preserve">trough_weight_high</t>
  </si>
  <si>
    <t xml:space="preserve">Weight for trough (upper int)</t>
  </si>
  <si>
    <t xml:space="preserve">lcm_low</t>
  </si>
  <si>
    <t xml:space="preserve">Load cell for mixer (lower int)</t>
  </si>
  <si>
    <t xml:space="preserve">lcm_high</t>
  </si>
  <si>
    <t xml:space="preserve">Load cell for mixer (upper int)</t>
  </si>
  <si>
    <t xml:space="preserve">labeler</t>
  </si>
  <si>
    <t xml:space="preserve">%QX90.5</t>
  </si>
  <si>
    <t xml:space="preserve">Labeler on state</t>
  </si>
  <si>
    <t xml:space="preserve">add_ingredients</t>
  </si>
  <si>
    <t xml:space="preserve">%QX94.3</t>
  </si>
  <si>
    <t xml:space="preserve">Coil for adding additional non-bulk ingredients</t>
  </si>
  <si>
    <t xml:space="preserve">%MD13</t>
  </si>
  <si>
    <t xml:space="preserve">Conveyor feet per minute (combined float)</t>
  </si>
  <si>
    <t xml:space="preserve">lcm</t>
  </si>
  <si>
    <t xml:space="preserve">Load cell for mixer (combined float)</t>
  </si>
  <si>
    <t xml:space="preserve">trough_weight</t>
  </si>
  <si>
    <t xml:space="preserve">%MD12</t>
  </si>
  <si>
    <t xml:space="preserve">Trough weight (combined float)</t>
  </si>
  <si>
    <t xml:space="preserve">tunnel_temp</t>
  </si>
  <si>
    <t xml:space="preserve">Tunnel temperature</t>
  </si>
  <si>
    <t xml:space="preserve">nitrogen_volume</t>
  </si>
  <si>
    <t xml:space="preserve">%MD14</t>
  </si>
  <si>
    <t xml:space="preserve">Volume of nitrogen (combined float)</t>
  </si>
  <si>
    <t xml:space="preserve">vacuum_max_rpm</t>
  </si>
  <si>
    <t xml:space="preserve">Max rpm of vacuum</t>
  </si>
  <si>
    <t xml:space="preserve">mixer_max_rpm</t>
  </si>
  <si>
    <t xml:space="preserve">Max rpm of mixer</t>
  </si>
  <si>
    <t xml:space="preserve">cookie_diameter</t>
  </si>
  <si>
    <t xml:space="preserve">Diameter of individual cookies (in)</t>
  </si>
  <si>
    <t xml:space="preserve">cookie_margin</t>
  </si>
  <si>
    <t xml:space="preserve">Margin between cookies (in)</t>
  </si>
  <si>
    <t xml:space="preserve">%MD20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</si>
</sst>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theme="3" tint="0.7499"/>
        <bgColor rgb="FFD1D1D1"/>
      </patternFill>
    </fill>
    <fill>
      <patternFill patternType="solid">
        <fgColor theme="6" tint="0.5999"/>
        <bgColor rgb="FFA6CAEC"/>
      </patternFill>
    </fill>
    <fill>
      <patternFill patternType="solid">
        <fgColor theme="5" tint="0.3999"/>
        <bgColor rgb="FFFF99CC"/>
      </patternFill>
    </fill>
    <fill>
      <patternFill patternType="solid">
        <fgColor theme="2" tint="-0.1"/>
        <bgColor rgb="FFD9D9D9"/>
      </patternFill>
    </fill>
    <fill>
      <patternFill patternType="solid">
        <fgColor theme="0" tint="-0.15"/>
        <bgColor rgb="FFD1D1D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4E291"/>
          <bgColor rgb="FF000000"/>
        </patternFill>
      </fill>
    </dxf>
    <dxf>
      <fill>
        <patternFill patternType="solid">
          <fgColor rgb="FFA6CAEC"/>
          <bgColor rgb="FF000000"/>
        </patternFill>
      </fill>
    </dxf>
    <dxf>
      <fill>
        <patternFill patternType="solid">
          <fgColor rgb="FFD1D1D1"/>
          <bgColor rgb="FF000000"/>
        </patternFill>
      </fill>
    </dxf>
    <dxf>
      <fill>
        <patternFill patternType="solid">
          <fgColor rgb="FFF2A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4E291"/>
      <rgbColor rgb="FFFFFF99"/>
      <rgbColor rgb="FFA6CAEC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59" headerRowCount="1" totalsRowCount="0" totalsRowShown="0">
  <autoFilter ref="A1:G59"/>
  <tableColumns count="7">
    <tableColumn id="1" name="Name"/>
    <tableColumn id="2" name="OpenPLC Type"/>
    <tableColumn id="3" name="Modbus Type"/>
    <tableColumn id="4" name="OpenPLC address"/>
    <tableColumn id="5" name="Modbus address"/>
    <tableColumn id="6" name="Initial Value"/>
    <tableColumn id="7" name="Note"/>
  </tableColumns>
</table>
</file>

<file path=xl/tables/table2.xml><?xml version="1.0" encoding="utf-8"?>
<table xmlns="http://schemas.openxmlformats.org/spreadsheetml/2006/main" id="2" name="Table2" displayName="Table2" ref="A1:H69" headerRowCount="1" totalsRowCount="0" totalsRowShown="0">
  <autoFilter ref="A1:H69"/>
  <tableColumns count="8">
    <tableColumn id="1" name="Name"/>
    <tableColumn id="2" name="Data Type"/>
    <tableColumn id="3" name="Modbus Type"/>
    <tableColumn id="4" name="OpenPLC Address"/>
    <tableColumn id="5" name="Modbus Address"/>
    <tableColumn id="6" name="Initial Value"/>
    <tableColumn id="7" name="Description"/>
    <tableColumn id="8" name="HM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9" activeCellId="0" sqref="B59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.44"/>
    <col collapsed="false" customWidth="true" hidden="false" outlineLevel="0" max="3" min="3" style="0" width="19.11"/>
    <col collapsed="false" customWidth="true" hidden="false" outlineLevel="0" max="4" min="4" style="0" width="18.66"/>
    <col collapsed="false" customWidth="true" hidden="false" outlineLevel="0" max="5" min="5" style="0" width="17.34"/>
    <col collapsed="false" customWidth="true" hidden="false" outlineLevel="0" max="6" min="6" style="0" width="13.34"/>
    <col collapsed="false" customWidth="true" hidden="false" outlineLevel="0" max="7" min="7" style="0" width="42.11"/>
    <col collapsed="false" customWidth="true" hidden="false" outlineLevel="0" max="8" min="8" style="0" width="18.3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116</v>
      </c>
      <c r="F2" s="2"/>
      <c r="G2" s="2" t="s">
        <v>12</v>
      </c>
      <c r="H2" s="3" t="s">
        <v>13</v>
      </c>
    </row>
    <row r="3" customFormat="false" ht="14.25" hidden="false" customHeight="false" outlineLevel="0" collapsed="false">
      <c r="A3" s="2" t="s">
        <v>14</v>
      </c>
      <c r="B3" s="2" t="s">
        <v>9</v>
      </c>
      <c r="C3" s="2" t="s">
        <v>10</v>
      </c>
      <c r="D3" s="2" t="s">
        <v>15</v>
      </c>
      <c r="E3" s="2" t="n">
        <v>117</v>
      </c>
      <c r="F3" s="2"/>
      <c r="G3" s="2" t="s">
        <v>16</v>
      </c>
      <c r="H3" s="3" t="s">
        <v>13</v>
      </c>
    </row>
    <row r="4" customFormat="false" ht="14.25" hidden="false" customHeight="false" outlineLevel="0" collapsed="false">
      <c r="A4" s="2" t="s">
        <v>17</v>
      </c>
      <c r="B4" s="2" t="s">
        <v>9</v>
      </c>
      <c r="C4" s="2" t="s">
        <v>10</v>
      </c>
      <c r="D4" s="2" t="str">
        <f aca="false">_xlfn.CONCAT("%QW",_xlfn.valuetotext(E4,1))</f>
        <v>%QW120</v>
      </c>
      <c r="E4" s="2" t="n">
        <v>120</v>
      </c>
      <c r="F4" s="2"/>
      <c r="G4" s="2" t="s">
        <v>18</v>
      </c>
      <c r="H4" s="3" t="s">
        <v>13</v>
      </c>
    </row>
    <row r="5" customFormat="false" ht="14.25" hidden="false" customHeight="false" outlineLevel="0" collapsed="false">
      <c r="A5" s="2" t="s">
        <v>19</v>
      </c>
      <c r="B5" s="2" t="s">
        <v>9</v>
      </c>
      <c r="C5" s="2" t="s">
        <v>10</v>
      </c>
      <c r="D5" s="2" t="str">
        <f aca="false">_xlfn.CONCAT("%QW",_xlfn.valuetotext(E5,1))</f>
        <v>%QW121</v>
      </c>
      <c r="E5" s="2" t="n">
        <v>121</v>
      </c>
      <c r="F5" s="2"/>
      <c r="G5" s="2" t="s">
        <v>20</v>
      </c>
      <c r="H5" s="3" t="s">
        <v>13</v>
      </c>
    </row>
    <row r="6" customFormat="false" ht="14.25" hidden="false" customHeight="false" outlineLevel="0" collapsed="false">
      <c r="A6" s="2" t="s">
        <v>21</v>
      </c>
      <c r="B6" s="2" t="s">
        <v>9</v>
      </c>
      <c r="C6" s="2" t="s">
        <v>10</v>
      </c>
      <c r="D6" s="2" t="s">
        <v>22</v>
      </c>
      <c r="E6" s="2" t="n">
        <v>218</v>
      </c>
      <c r="F6" s="2"/>
      <c r="G6" s="2" t="s">
        <v>23</v>
      </c>
      <c r="H6" s="3" t="s">
        <v>13</v>
      </c>
    </row>
    <row r="7" customFormat="false" ht="14.25" hidden="false" customHeight="false" outlineLevel="0" collapsed="false">
      <c r="A7" s="2" t="s">
        <v>24</v>
      </c>
      <c r="B7" s="2" t="s">
        <v>9</v>
      </c>
      <c r="C7" s="2" t="s">
        <v>10</v>
      </c>
      <c r="D7" s="2" t="s">
        <v>25</v>
      </c>
      <c r="E7" s="2" t="n">
        <v>219</v>
      </c>
      <c r="F7" s="2"/>
      <c r="G7" s="2" t="s">
        <v>26</v>
      </c>
      <c r="H7" s="3" t="s">
        <v>13</v>
      </c>
    </row>
    <row r="8" customFormat="false" ht="14.25" hidden="false" customHeight="false" outlineLevel="0" collapsed="false">
      <c r="A8" s="2" t="s">
        <v>27</v>
      </c>
      <c r="B8" s="2" t="s">
        <v>9</v>
      </c>
      <c r="C8" s="2" t="s">
        <v>10</v>
      </c>
      <c r="D8" s="2" t="s">
        <v>28</v>
      </c>
      <c r="E8" s="2" t="n">
        <v>300</v>
      </c>
      <c r="F8" s="2"/>
      <c r="G8" s="2" t="s">
        <v>29</v>
      </c>
      <c r="H8" s="3" t="s">
        <v>13</v>
      </c>
    </row>
    <row r="9" customFormat="false" ht="14.25" hidden="false" customHeight="false" outlineLevel="0" collapsed="false">
      <c r="A9" s="2" t="s">
        <v>30</v>
      </c>
      <c r="B9" s="2" t="s">
        <v>9</v>
      </c>
      <c r="C9" s="2" t="s">
        <v>10</v>
      </c>
      <c r="D9" s="2" t="s">
        <v>31</v>
      </c>
      <c r="E9" s="2" t="n">
        <v>301</v>
      </c>
      <c r="F9" s="2"/>
      <c r="G9" s="2" t="s">
        <v>32</v>
      </c>
      <c r="H9" s="3" t="s">
        <v>13</v>
      </c>
    </row>
    <row r="10" customFormat="false" ht="14.25" hidden="false" customHeight="false" outlineLevel="0" collapsed="false">
      <c r="A10" s="2" t="s">
        <v>33</v>
      </c>
      <c r="B10" s="2" t="s">
        <v>9</v>
      </c>
      <c r="C10" s="2" t="s">
        <v>10</v>
      </c>
      <c r="D10" s="2" t="s">
        <v>34</v>
      </c>
      <c r="E10" s="2" t="n">
        <v>302</v>
      </c>
      <c r="F10" s="2"/>
      <c r="G10" s="2" t="s">
        <v>35</v>
      </c>
      <c r="H10" s="3" t="s">
        <v>13</v>
      </c>
    </row>
    <row r="11" customFormat="false" ht="14.25" hidden="false" customHeight="false" outlineLevel="0" collapsed="false">
      <c r="A11" s="2" t="s">
        <v>36</v>
      </c>
      <c r="B11" s="2" t="s">
        <v>9</v>
      </c>
      <c r="C11" s="2" t="s">
        <v>10</v>
      </c>
      <c r="D11" s="2" t="s">
        <v>37</v>
      </c>
      <c r="E11" s="2" t="n">
        <v>303</v>
      </c>
      <c r="F11" s="2"/>
      <c r="G11" s="2" t="s">
        <v>38</v>
      </c>
      <c r="H11" s="3" t="s">
        <v>13</v>
      </c>
    </row>
    <row r="12" customFormat="false" ht="14.25" hidden="false" customHeight="false" outlineLevel="0" collapsed="false">
      <c r="A12" s="2" t="s">
        <v>39</v>
      </c>
      <c r="B12" s="2" t="s">
        <v>40</v>
      </c>
      <c r="C12" s="2" t="s">
        <v>41</v>
      </c>
      <c r="D12" s="2" t="s">
        <v>42</v>
      </c>
      <c r="E12" s="2" t="n">
        <v>700</v>
      </c>
      <c r="F12" s="2"/>
      <c r="G12" s="2" t="s">
        <v>43</v>
      </c>
      <c r="H12" s="3" t="s">
        <v>13</v>
      </c>
    </row>
    <row r="13" customFormat="false" ht="14.25" hidden="false" customHeight="false" outlineLevel="0" collapsed="false">
      <c r="A13" s="2" t="s">
        <v>44</v>
      </c>
      <c r="B13" s="2" t="s">
        <v>40</v>
      </c>
      <c r="C13" s="2" t="s">
        <v>41</v>
      </c>
      <c r="D13" s="2" t="s">
        <v>45</v>
      </c>
      <c r="E13" s="2" t="n">
        <v>701</v>
      </c>
      <c r="F13" s="2"/>
      <c r="G13" s="2" t="s">
        <v>46</v>
      </c>
      <c r="H13" s="3" t="s">
        <v>13</v>
      </c>
    </row>
    <row r="14" customFormat="false" ht="14.25" hidden="false" customHeight="false" outlineLevel="0" collapsed="false">
      <c r="A14" s="2" t="s">
        <v>47</v>
      </c>
      <c r="B14" s="2" t="s">
        <v>40</v>
      </c>
      <c r="C14" s="2" t="s">
        <v>41</v>
      </c>
      <c r="D14" s="2" t="s">
        <v>48</v>
      </c>
      <c r="E14" s="2" t="n">
        <v>702</v>
      </c>
      <c r="F14" s="2"/>
      <c r="G14" s="2" t="s">
        <v>49</v>
      </c>
      <c r="H14" s="3" t="s">
        <v>13</v>
      </c>
    </row>
    <row r="15" customFormat="false" ht="14.25" hidden="false" customHeight="false" outlineLevel="0" collapsed="false">
      <c r="A15" s="2" t="s">
        <v>50</v>
      </c>
      <c r="B15" s="2" t="s">
        <v>40</v>
      </c>
      <c r="C15" s="2" t="s">
        <v>41</v>
      </c>
      <c r="D15" s="2" t="s">
        <v>51</v>
      </c>
      <c r="E15" s="2" t="n">
        <v>703</v>
      </c>
      <c r="F15" s="2"/>
      <c r="G15" s="2" t="s">
        <v>52</v>
      </c>
      <c r="H15" s="3" t="s">
        <v>13</v>
      </c>
    </row>
    <row r="16" customFormat="false" ht="14.25" hidden="false" customHeight="false" outlineLevel="0" collapsed="false">
      <c r="A16" s="2" t="s">
        <v>53</v>
      </c>
      <c r="B16" s="2" t="s">
        <v>40</v>
      </c>
      <c r="C16" s="2" t="s">
        <v>41</v>
      </c>
      <c r="D16" s="2" t="s">
        <v>54</v>
      </c>
      <c r="E16" s="2" t="n">
        <v>704</v>
      </c>
      <c r="F16" s="2"/>
      <c r="G16" s="2" t="s">
        <v>55</v>
      </c>
      <c r="H16" s="3" t="s">
        <v>13</v>
      </c>
    </row>
    <row r="17" customFormat="false" ht="14.25" hidden="false" customHeight="false" outlineLevel="0" collapsed="false">
      <c r="A17" s="2" t="s">
        <v>56</v>
      </c>
      <c r="B17" s="2" t="s">
        <v>40</v>
      </c>
      <c r="C17" s="2" t="s">
        <v>41</v>
      </c>
      <c r="D17" s="2" t="s">
        <v>57</v>
      </c>
      <c r="E17" s="2" t="n">
        <v>705</v>
      </c>
      <c r="F17" s="2"/>
      <c r="G17" s="2" t="s">
        <v>58</v>
      </c>
      <c r="H17" s="3" t="s">
        <v>13</v>
      </c>
    </row>
    <row r="18" customFormat="false" ht="14.25" hidden="false" customHeight="false" outlineLevel="0" collapsed="false">
      <c r="A18" s="2" t="s">
        <v>59</v>
      </c>
      <c r="B18" s="2" t="s">
        <v>40</v>
      </c>
      <c r="C18" s="2" t="s">
        <v>41</v>
      </c>
      <c r="D18" s="2" t="s">
        <v>60</v>
      </c>
      <c r="E18" s="2" t="n">
        <v>706</v>
      </c>
      <c r="F18" s="4" t="b">
        <f aca="false">FALSE()</f>
        <v>0</v>
      </c>
      <c r="G18" s="2" t="s">
        <v>61</v>
      </c>
      <c r="H18" s="3" t="s">
        <v>13</v>
      </c>
    </row>
    <row r="19" customFormat="false" ht="14.25" hidden="false" customHeight="false" outlineLevel="0" collapsed="false">
      <c r="A19" s="2" t="s">
        <v>62</v>
      </c>
      <c r="B19" s="2" t="s">
        <v>40</v>
      </c>
      <c r="C19" s="2" t="s">
        <v>41</v>
      </c>
      <c r="D19" s="2" t="s">
        <v>63</v>
      </c>
      <c r="E19" s="2" t="n">
        <v>707</v>
      </c>
      <c r="F19" s="4" t="b">
        <f aca="false">FALSE()</f>
        <v>0</v>
      </c>
      <c r="G19" s="2" t="s">
        <v>64</v>
      </c>
      <c r="H19" s="3" t="s">
        <v>13</v>
      </c>
    </row>
    <row r="20" customFormat="false" ht="14.25" hidden="false" customHeight="false" outlineLevel="0" collapsed="false">
      <c r="A20" s="2" t="s">
        <v>65</v>
      </c>
      <c r="B20" s="2" t="s">
        <v>40</v>
      </c>
      <c r="C20" s="2" t="s">
        <v>41</v>
      </c>
      <c r="D20" s="2" t="s">
        <v>66</v>
      </c>
      <c r="E20" s="2" t="n">
        <v>708</v>
      </c>
      <c r="F20" s="4" t="b">
        <f aca="false">FALSE()</f>
        <v>0</v>
      </c>
      <c r="G20" s="2" t="s">
        <v>67</v>
      </c>
      <c r="H20" s="3" t="s">
        <v>13</v>
      </c>
    </row>
    <row r="21" customFormat="false" ht="14.25" hidden="false" customHeight="false" outlineLevel="0" collapsed="false">
      <c r="A21" s="2" t="s">
        <v>68</v>
      </c>
      <c r="B21" s="2" t="s">
        <v>40</v>
      </c>
      <c r="C21" s="2" t="s">
        <v>41</v>
      </c>
      <c r="D21" s="2" t="s">
        <v>69</v>
      </c>
      <c r="E21" s="2" t="n">
        <v>709</v>
      </c>
      <c r="F21" s="4" t="b">
        <f aca="false">FALSE()</f>
        <v>0</v>
      </c>
      <c r="G21" s="2" t="s">
        <v>70</v>
      </c>
      <c r="H21" s="3" t="s">
        <v>13</v>
      </c>
    </row>
    <row r="22" customFormat="false" ht="14.25" hidden="false" customHeight="false" outlineLevel="0" collapsed="false">
      <c r="A22" s="2" t="s">
        <v>71</v>
      </c>
      <c r="B22" s="2" t="s">
        <v>40</v>
      </c>
      <c r="C22" s="2" t="s">
        <v>41</v>
      </c>
      <c r="D22" s="2" t="s">
        <v>72</v>
      </c>
      <c r="E22" s="2" t="n">
        <v>710</v>
      </c>
      <c r="F22" s="4" t="b">
        <f aca="false">FALSE()</f>
        <v>0</v>
      </c>
      <c r="G22" s="2" t="s">
        <v>73</v>
      </c>
      <c r="H22" s="3" t="s">
        <v>13</v>
      </c>
    </row>
    <row r="23" customFormat="false" ht="14.25" hidden="false" customHeight="false" outlineLevel="0" collapsed="false">
      <c r="A23" s="2" t="s">
        <v>74</v>
      </c>
      <c r="B23" s="2" t="s">
        <v>40</v>
      </c>
      <c r="C23" s="2" t="s">
        <v>41</v>
      </c>
      <c r="D23" s="2" t="s">
        <v>75</v>
      </c>
      <c r="E23" s="2" t="n">
        <v>711</v>
      </c>
      <c r="F23" s="2"/>
      <c r="G23" s="2" t="s">
        <v>76</v>
      </c>
      <c r="H23" s="2" t="s">
        <v>77</v>
      </c>
    </row>
    <row r="24" customFormat="false" ht="14.25" hidden="false" customHeight="false" outlineLevel="0" collapsed="false">
      <c r="A24" s="2" t="s">
        <v>78</v>
      </c>
      <c r="B24" s="2" t="s">
        <v>40</v>
      </c>
      <c r="C24" s="2" t="s">
        <v>41</v>
      </c>
      <c r="D24" s="2" t="s">
        <v>79</v>
      </c>
      <c r="E24" s="2" t="n">
        <v>713</v>
      </c>
      <c r="F24" s="2"/>
      <c r="G24" s="2" t="s">
        <v>80</v>
      </c>
      <c r="H24" s="3" t="s">
        <v>13</v>
      </c>
    </row>
    <row r="25" customFormat="false" ht="14.25" hidden="false" customHeight="false" outlineLevel="0" collapsed="false">
      <c r="A25" s="2" t="s">
        <v>81</v>
      </c>
      <c r="B25" s="2" t="s">
        <v>40</v>
      </c>
      <c r="C25" s="2" t="s">
        <v>41</v>
      </c>
      <c r="D25" s="2" t="s">
        <v>82</v>
      </c>
      <c r="E25" s="2" t="n">
        <v>716</v>
      </c>
      <c r="F25" s="2"/>
      <c r="G25" s="2" t="s">
        <v>83</v>
      </c>
      <c r="H25" s="2" t="s">
        <v>77</v>
      </c>
    </row>
    <row r="26" customFormat="false" ht="14.25" hidden="false" customHeight="false" outlineLevel="0" collapsed="false">
      <c r="A26" s="2" t="s">
        <v>84</v>
      </c>
      <c r="B26" s="2" t="s">
        <v>40</v>
      </c>
      <c r="C26" s="2" t="s">
        <v>41</v>
      </c>
      <c r="D26" s="2" t="s">
        <v>85</v>
      </c>
      <c r="E26" s="2" t="n">
        <v>717</v>
      </c>
      <c r="F26" s="2"/>
      <c r="G26" s="2" t="s">
        <v>86</v>
      </c>
      <c r="H26" s="2" t="s">
        <v>77</v>
      </c>
    </row>
    <row r="27" customFormat="false" ht="14.25" hidden="false" customHeight="false" outlineLevel="0" collapsed="false">
      <c r="A27" s="2" t="s">
        <v>87</v>
      </c>
      <c r="B27" s="2" t="s">
        <v>40</v>
      </c>
      <c r="C27" s="2" t="s">
        <v>41</v>
      </c>
      <c r="D27" s="2" t="s">
        <v>88</v>
      </c>
      <c r="E27" s="2" t="n">
        <v>718</v>
      </c>
      <c r="F27" s="2"/>
      <c r="G27" s="2" t="s">
        <v>89</v>
      </c>
      <c r="H27" s="2" t="s">
        <v>77</v>
      </c>
    </row>
    <row r="28" customFormat="false" ht="14.25" hidden="false" customHeight="false" outlineLevel="0" collapsed="false">
      <c r="A28" s="2" t="s">
        <v>90</v>
      </c>
      <c r="B28" s="2" t="s">
        <v>40</v>
      </c>
      <c r="C28" s="2" t="s">
        <v>41</v>
      </c>
      <c r="D28" s="2" t="s">
        <v>91</v>
      </c>
      <c r="E28" s="2" t="n">
        <v>719</v>
      </c>
      <c r="F28" s="2"/>
      <c r="G28" s="2" t="s">
        <v>92</v>
      </c>
      <c r="H28" s="2" t="s">
        <v>77</v>
      </c>
    </row>
    <row r="29" customFormat="false" ht="14.25" hidden="false" customHeight="false" outlineLevel="0" collapsed="false">
      <c r="A29" s="2" t="s">
        <v>93</v>
      </c>
      <c r="B29" s="2" t="s">
        <v>40</v>
      </c>
      <c r="C29" s="2" t="s">
        <v>41</v>
      </c>
      <c r="D29" s="2" t="s">
        <v>94</v>
      </c>
      <c r="E29" s="2" t="n">
        <v>720</v>
      </c>
      <c r="F29" s="2"/>
      <c r="G29" s="2" t="s">
        <v>95</v>
      </c>
      <c r="H29" s="2" t="s">
        <v>77</v>
      </c>
    </row>
    <row r="30" customFormat="false" ht="14.25" hidden="false" customHeight="false" outlineLevel="0" collapsed="false">
      <c r="A30" s="2" t="s">
        <v>96</v>
      </c>
      <c r="B30" s="2" t="s">
        <v>40</v>
      </c>
      <c r="C30" s="2" t="s">
        <v>41</v>
      </c>
      <c r="D30" s="2" t="s">
        <v>97</v>
      </c>
      <c r="E30" s="2" t="n">
        <v>721</v>
      </c>
      <c r="F30" s="2"/>
      <c r="G30" s="2" t="s">
        <v>98</v>
      </c>
      <c r="H30" s="2" t="s">
        <v>77</v>
      </c>
    </row>
    <row r="31" customFormat="false" ht="14.25" hidden="false" customHeight="false" outlineLevel="0" collapsed="false">
      <c r="A31" s="2" t="s">
        <v>99</v>
      </c>
      <c r="B31" s="2" t="s">
        <v>40</v>
      </c>
      <c r="C31" s="2" t="s">
        <v>41</v>
      </c>
      <c r="D31" s="2" t="s">
        <v>100</v>
      </c>
      <c r="E31" s="2" t="n">
        <v>722</v>
      </c>
      <c r="F31" s="2"/>
      <c r="G31" s="2" t="s">
        <v>101</v>
      </c>
      <c r="H31" s="2" t="s">
        <v>77</v>
      </c>
    </row>
    <row r="32" customFormat="false" ht="14.25" hidden="false" customHeight="false" outlineLevel="0" collapsed="false">
      <c r="A32" s="2" t="s">
        <v>102</v>
      </c>
      <c r="B32" s="2" t="s">
        <v>40</v>
      </c>
      <c r="C32" s="2" t="s">
        <v>41</v>
      </c>
      <c r="D32" s="2" t="s">
        <v>103</v>
      </c>
      <c r="E32" s="2" t="n">
        <v>723</v>
      </c>
      <c r="F32" s="2"/>
      <c r="G32" s="2" t="s">
        <v>104</v>
      </c>
      <c r="H32" s="2" t="s">
        <v>105</v>
      </c>
    </row>
    <row r="33" customFormat="false" ht="14.25" hidden="false" customHeight="false" outlineLevel="0" collapsed="false">
      <c r="A33" s="2" t="s">
        <v>106</v>
      </c>
      <c r="B33" s="2" t="s">
        <v>40</v>
      </c>
      <c r="C33" s="2" t="s">
        <v>41</v>
      </c>
      <c r="D33" s="2" t="s">
        <v>107</v>
      </c>
      <c r="E33" s="2" t="n">
        <v>724</v>
      </c>
      <c r="F33" s="2"/>
      <c r="G33" s="2" t="s">
        <v>108</v>
      </c>
      <c r="H33" s="2" t="s">
        <v>105</v>
      </c>
    </row>
    <row r="34" customFormat="false" ht="14.25" hidden="false" customHeight="false" outlineLevel="0" collapsed="false">
      <c r="A34" s="2" t="s">
        <v>109</v>
      </c>
      <c r="B34" s="2" t="s">
        <v>40</v>
      </c>
      <c r="C34" s="2" t="s">
        <v>41</v>
      </c>
      <c r="D34" s="2" t="s">
        <v>110</v>
      </c>
      <c r="E34" s="2" t="n">
        <v>726</v>
      </c>
      <c r="F34" s="2"/>
      <c r="G34" s="2" t="s">
        <v>111</v>
      </c>
      <c r="H34" s="2" t="s">
        <v>105</v>
      </c>
    </row>
    <row r="35" customFormat="false" ht="14.25" hidden="false" customHeight="false" outlineLevel="0" collapsed="false">
      <c r="A35" s="2" t="s">
        <v>112</v>
      </c>
      <c r="B35" s="2" t="s">
        <v>40</v>
      </c>
      <c r="C35" s="2" t="s">
        <v>41</v>
      </c>
      <c r="D35" s="2" t="s">
        <v>113</v>
      </c>
      <c r="E35" s="2" t="n">
        <v>727</v>
      </c>
      <c r="F35" s="2"/>
      <c r="G35" s="2" t="s">
        <v>114</v>
      </c>
      <c r="H35" s="2" t="s">
        <v>105</v>
      </c>
    </row>
    <row r="36" customFormat="false" ht="14.25" hidden="false" customHeight="false" outlineLevel="0" collapsed="false">
      <c r="A36" s="2" t="s">
        <v>115</v>
      </c>
      <c r="B36" s="2" t="s">
        <v>40</v>
      </c>
      <c r="C36" s="2" t="s">
        <v>41</v>
      </c>
      <c r="D36" s="2" t="s">
        <v>116</v>
      </c>
      <c r="E36" s="2" t="n">
        <v>728</v>
      </c>
      <c r="F36" s="2"/>
      <c r="G36" s="2" t="s">
        <v>117</v>
      </c>
      <c r="H36" s="2" t="s">
        <v>105</v>
      </c>
    </row>
    <row r="37" customFormat="false" ht="14.25" hidden="false" customHeight="false" outlineLevel="0" collapsed="false">
      <c r="A37" s="2" t="s">
        <v>118</v>
      </c>
      <c r="B37" s="2" t="s">
        <v>40</v>
      </c>
      <c r="C37" s="2" t="s">
        <v>41</v>
      </c>
      <c r="D37" s="2" t="s">
        <v>119</v>
      </c>
      <c r="E37" s="2" t="n">
        <v>729</v>
      </c>
      <c r="F37" s="2"/>
      <c r="G37" s="2" t="s">
        <v>120</v>
      </c>
      <c r="H37" s="2" t="s">
        <v>105</v>
      </c>
    </row>
    <row r="38" customFormat="false" ht="14.25" hidden="false" customHeight="false" outlineLevel="0" collapsed="false">
      <c r="A38" s="2" t="s">
        <v>121</v>
      </c>
      <c r="B38" s="2" t="s">
        <v>40</v>
      </c>
      <c r="C38" s="2" t="s">
        <v>41</v>
      </c>
      <c r="D38" s="2" t="s">
        <v>122</v>
      </c>
      <c r="E38" s="2" t="n">
        <v>730</v>
      </c>
      <c r="F38" s="2"/>
      <c r="G38" s="2" t="s">
        <v>123</v>
      </c>
      <c r="H38" s="2" t="s">
        <v>105</v>
      </c>
    </row>
    <row r="39" customFormat="false" ht="14.25" hidden="false" customHeight="false" outlineLevel="0" collapsed="false">
      <c r="A39" s="2" t="s">
        <v>124</v>
      </c>
      <c r="B39" s="2" t="s">
        <v>40</v>
      </c>
      <c r="C39" s="2" t="s">
        <v>41</v>
      </c>
      <c r="D39" s="2" t="s">
        <v>125</v>
      </c>
      <c r="E39" s="2" t="n">
        <v>731</v>
      </c>
      <c r="F39" s="2"/>
      <c r="G39" s="2" t="s">
        <v>126</v>
      </c>
      <c r="H39" s="2" t="s">
        <v>105</v>
      </c>
    </row>
    <row r="40" customFormat="false" ht="14.25" hidden="false" customHeight="false" outlineLevel="0" collapsed="false">
      <c r="A40" s="2" t="s">
        <v>127</v>
      </c>
      <c r="B40" s="2" t="s">
        <v>40</v>
      </c>
      <c r="C40" s="2" t="s">
        <v>41</v>
      </c>
      <c r="D40" s="2" t="s">
        <v>128</v>
      </c>
      <c r="E40" s="2" t="n">
        <v>732</v>
      </c>
      <c r="F40" s="2"/>
      <c r="G40" s="2" t="s">
        <v>129</v>
      </c>
      <c r="H40" s="2" t="s">
        <v>105</v>
      </c>
    </row>
    <row r="41" customFormat="false" ht="14.25" hidden="false" customHeight="false" outlineLevel="0" collapsed="false">
      <c r="A41" s="2" t="s">
        <v>130</v>
      </c>
      <c r="B41" s="2" t="s">
        <v>40</v>
      </c>
      <c r="C41" s="2" t="s">
        <v>41</v>
      </c>
      <c r="D41" s="2" t="s">
        <v>131</v>
      </c>
      <c r="E41" s="2" t="n">
        <v>733</v>
      </c>
      <c r="F41" s="2"/>
      <c r="G41" s="2" t="s">
        <v>132</v>
      </c>
      <c r="H41" s="2" t="s">
        <v>105</v>
      </c>
    </row>
    <row r="42" customFormat="false" ht="14.25" hidden="false" customHeight="false" outlineLevel="0" collapsed="false">
      <c r="A42" s="2" t="s">
        <v>133</v>
      </c>
      <c r="B42" s="2" t="s">
        <v>40</v>
      </c>
      <c r="C42" s="2" t="s">
        <v>41</v>
      </c>
      <c r="D42" s="2" t="s">
        <v>134</v>
      </c>
      <c r="E42" s="2" t="n">
        <v>734</v>
      </c>
      <c r="F42" s="2"/>
      <c r="G42" s="2" t="s">
        <v>135</v>
      </c>
      <c r="H42" s="2" t="s">
        <v>105</v>
      </c>
    </row>
    <row r="43" customFormat="false" ht="14.25" hidden="false" customHeight="false" outlineLevel="0" collapsed="false">
      <c r="A43" s="2" t="s">
        <v>136</v>
      </c>
      <c r="B43" s="2" t="s">
        <v>40</v>
      </c>
      <c r="C43" s="2" t="s">
        <v>41</v>
      </c>
      <c r="D43" s="2" t="s">
        <v>137</v>
      </c>
      <c r="E43" s="2" t="n">
        <v>735</v>
      </c>
      <c r="F43" s="2"/>
      <c r="G43" s="2" t="s">
        <v>138</v>
      </c>
      <c r="H43" s="2" t="s">
        <v>105</v>
      </c>
    </row>
    <row r="44" customFormat="false" ht="14.25" hidden="false" customHeight="false" outlineLevel="0" collapsed="false">
      <c r="A44" s="2" t="s">
        <v>139</v>
      </c>
      <c r="B44" s="2" t="s">
        <v>40</v>
      </c>
      <c r="C44" s="2" t="s">
        <v>41</v>
      </c>
      <c r="D44" s="2" t="s">
        <v>140</v>
      </c>
      <c r="E44" s="2" t="n">
        <v>736</v>
      </c>
      <c r="F44" s="2"/>
      <c r="G44" s="2" t="s">
        <v>141</v>
      </c>
      <c r="H44" s="2" t="s">
        <v>105</v>
      </c>
    </row>
    <row r="45" customFormat="false" ht="14.25" hidden="false" customHeight="false" outlineLevel="0" collapsed="false">
      <c r="A45" s="2" t="s">
        <v>142</v>
      </c>
      <c r="B45" s="2" t="s">
        <v>40</v>
      </c>
      <c r="C45" s="2" t="s">
        <v>41</v>
      </c>
      <c r="D45" s="2" t="s">
        <v>143</v>
      </c>
      <c r="E45" s="2" t="n">
        <v>737</v>
      </c>
      <c r="F45" s="2"/>
      <c r="G45" s="2" t="s">
        <v>144</v>
      </c>
      <c r="H45" s="2" t="s">
        <v>105</v>
      </c>
    </row>
    <row r="46" customFormat="false" ht="14.25" hidden="false" customHeight="false" outlineLevel="0" collapsed="false">
      <c r="A46" s="2" t="s">
        <v>145</v>
      </c>
      <c r="B46" s="2" t="s">
        <v>40</v>
      </c>
      <c r="C46" s="2" t="s">
        <v>41</v>
      </c>
      <c r="D46" s="2" t="s">
        <v>146</v>
      </c>
      <c r="E46" s="2" t="n">
        <v>738</v>
      </c>
      <c r="F46" s="2"/>
      <c r="G46" s="2" t="s">
        <v>147</v>
      </c>
      <c r="H46" s="2" t="s">
        <v>105</v>
      </c>
    </row>
    <row r="47" customFormat="false" ht="14.25" hidden="false" customHeight="false" outlineLevel="0" collapsed="false">
      <c r="A47" s="2" t="s">
        <v>148</v>
      </c>
      <c r="B47" s="2" t="s">
        <v>40</v>
      </c>
      <c r="C47" s="2" t="s">
        <v>41</v>
      </c>
      <c r="D47" s="2" t="s">
        <v>149</v>
      </c>
      <c r="E47" s="2" t="n">
        <v>739</v>
      </c>
      <c r="F47" s="2"/>
      <c r="G47" s="2" t="s">
        <v>150</v>
      </c>
      <c r="H47" s="2" t="s">
        <v>105</v>
      </c>
    </row>
    <row r="48" customFormat="false" ht="14.25" hidden="false" customHeight="false" outlineLevel="0" collapsed="false">
      <c r="A48" s="2" t="s">
        <v>151</v>
      </c>
      <c r="B48" s="2" t="s">
        <v>40</v>
      </c>
      <c r="C48" s="2" t="s">
        <v>41</v>
      </c>
      <c r="D48" s="2" t="s">
        <v>152</v>
      </c>
      <c r="E48" s="2" t="n">
        <v>740</v>
      </c>
      <c r="F48" s="2"/>
      <c r="G48" s="2" t="s">
        <v>153</v>
      </c>
      <c r="H48" s="2" t="s">
        <v>105</v>
      </c>
    </row>
    <row r="49" customFormat="false" ht="14.25" hidden="false" customHeight="false" outlineLevel="0" collapsed="false">
      <c r="A49" s="2" t="s">
        <v>154</v>
      </c>
      <c r="B49" s="2" t="s">
        <v>40</v>
      </c>
      <c r="C49" s="2" t="s">
        <v>41</v>
      </c>
      <c r="D49" s="2" t="s">
        <v>155</v>
      </c>
      <c r="E49" s="2" t="n">
        <v>741</v>
      </c>
      <c r="F49" s="2"/>
      <c r="G49" s="2" t="s">
        <v>156</v>
      </c>
      <c r="H49" s="2" t="s">
        <v>105</v>
      </c>
    </row>
    <row r="50" customFormat="false" ht="14.25" hidden="false" customHeight="false" outlineLevel="0" collapsed="false">
      <c r="A50" s="2" t="s">
        <v>157</v>
      </c>
      <c r="B50" s="2" t="s">
        <v>40</v>
      </c>
      <c r="C50" s="2" t="s">
        <v>41</v>
      </c>
      <c r="D50" s="2" t="s">
        <v>158</v>
      </c>
      <c r="E50" s="2" t="n">
        <v>1000</v>
      </c>
      <c r="F50" s="4" t="b">
        <f aca="false">FALSE()</f>
        <v>0</v>
      </c>
      <c r="G50" s="2" t="s">
        <v>159</v>
      </c>
      <c r="H50" s="2" t="s">
        <v>160</v>
      </c>
    </row>
    <row r="51" customFormat="false" ht="14.25" hidden="false" customHeight="false" outlineLevel="0" collapsed="false">
      <c r="A51" s="2" t="s">
        <v>161</v>
      </c>
      <c r="B51" s="2" t="s">
        <v>9</v>
      </c>
      <c r="C51" s="2" t="s">
        <v>10</v>
      </c>
      <c r="D51" s="2" t="str">
        <f aca="false">_xlfn.CONCAT("%QW",_xlfn.valuetotext(E51,1))</f>
        <v>%QW1001</v>
      </c>
      <c r="E51" s="2" t="n">
        <v>1001</v>
      </c>
      <c r="F51" s="2"/>
      <c r="G51" s="2" t="s">
        <v>162</v>
      </c>
      <c r="H51" s="2" t="s">
        <v>13</v>
      </c>
    </row>
    <row r="52" customFormat="false" ht="14.25" hidden="false" customHeight="false" outlineLevel="0" collapsed="false">
      <c r="A52" s="2" t="s">
        <v>163</v>
      </c>
      <c r="B52" s="2" t="s">
        <v>9</v>
      </c>
      <c r="C52" s="2" t="s">
        <v>10</v>
      </c>
      <c r="D52" s="2" t="str">
        <f aca="false">_xlfn.CONCAT("%QW",_xlfn.valuetotext(E52,1))</f>
        <v>%QW1003</v>
      </c>
      <c r="E52" s="2" t="n">
        <v>1003</v>
      </c>
      <c r="F52" s="2"/>
      <c r="G52" s="2" t="s">
        <v>164</v>
      </c>
      <c r="H52" s="2" t="s">
        <v>13</v>
      </c>
    </row>
    <row r="53" customFormat="false" ht="14.25" hidden="false" customHeight="false" outlineLevel="0" collapsed="false">
      <c r="A53" s="2" t="s">
        <v>165</v>
      </c>
      <c r="B53" s="2" t="s">
        <v>9</v>
      </c>
      <c r="C53" s="2" t="s">
        <v>10</v>
      </c>
      <c r="D53" s="2" t="str">
        <f aca="false">_xlfn.CONCAT("%QW",_xlfn.valuetotext(E53,1))</f>
        <v>%QW1006</v>
      </c>
      <c r="E53" s="2" t="n">
        <v>1006</v>
      </c>
      <c r="F53" s="2"/>
      <c r="G53" s="2" t="s">
        <v>166</v>
      </c>
      <c r="H53" s="2" t="s">
        <v>77</v>
      </c>
    </row>
    <row r="54" customFormat="false" ht="14.25" hidden="false" customHeight="false" outlineLevel="0" collapsed="false">
      <c r="A54" s="2" t="s">
        <v>167</v>
      </c>
      <c r="B54" s="2" t="s">
        <v>9</v>
      </c>
      <c r="C54" s="2" t="s">
        <v>10</v>
      </c>
      <c r="D54" s="2" t="str">
        <f aca="false">_xlfn.CONCAT("%QW",_xlfn.valuetotext(E54,1))</f>
        <v>%QW1009</v>
      </c>
      <c r="E54" s="2" t="n">
        <v>1009</v>
      </c>
      <c r="F54" s="2"/>
      <c r="G54" s="2" t="s">
        <v>168</v>
      </c>
      <c r="H54" s="2" t="s">
        <v>77</v>
      </c>
    </row>
    <row r="55" customFormat="false" ht="14.25" hidden="false" customHeight="false" outlineLevel="0" collapsed="false">
      <c r="A55" s="2" t="s">
        <v>169</v>
      </c>
      <c r="B55" s="2" t="s">
        <v>9</v>
      </c>
      <c r="C55" s="2" t="s">
        <v>10</v>
      </c>
      <c r="D55" s="2" t="s">
        <v>170</v>
      </c>
      <c r="E55" s="2" t="n">
        <v>1012</v>
      </c>
      <c r="F55" s="2"/>
      <c r="G55" s="2" t="s">
        <v>171</v>
      </c>
      <c r="H55" s="2" t="s">
        <v>105</v>
      </c>
    </row>
    <row r="56" customFormat="false" ht="14.25" hidden="false" customHeight="false" outlineLevel="0" collapsed="false">
      <c r="A56" s="2" t="s">
        <v>172</v>
      </c>
      <c r="B56" s="2" t="s">
        <v>9</v>
      </c>
      <c r="C56" s="2" t="s">
        <v>10</v>
      </c>
      <c r="D56" s="2" t="s">
        <v>173</v>
      </c>
      <c r="E56" s="2" t="n">
        <v>1013</v>
      </c>
      <c r="F56" s="2"/>
      <c r="G56" s="2" t="s">
        <v>174</v>
      </c>
      <c r="H56" s="2" t="s">
        <v>105</v>
      </c>
    </row>
    <row r="57" customFormat="false" ht="14.25" hidden="false" customHeight="false" outlineLevel="0" collapsed="false">
      <c r="A57" s="2" t="s">
        <v>175</v>
      </c>
      <c r="B57" s="2" t="s">
        <v>40</v>
      </c>
      <c r="C57" s="2" t="s">
        <v>41</v>
      </c>
      <c r="D57" s="2" t="s">
        <v>176</v>
      </c>
      <c r="E57" s="2" t="n">
        <v>742</v>
      </c>
      <c r="F57" s="2"/>
      <c r="G57" s="2" t="s">
        <v>177</v>
      </c>
      <c r="H57" s="2" t="s">
        <v>105</v>
      </c>
    </row>
    <row r="58" customFormat="false" ht="14.25" hidden="false" customHeight="false" outlineLevel="0" collapsed="false">
      <c r="A58" s="2" t="s">
        <v>178</v>
      </c>
      <c r="B58" s="2" t="s">
        <v>40</v>
      </c>
      <c r="C58" s="2" t="s">
        <v>41</v>
      </c>
      <c r="D58" s="2" t="s">
        <v>179</v>
      </c>
      <c r="E58" s="2" t="n">
        <v>743</v>
      </c>
      <c r="F58" s="2"/>
      <c r="G58" s="2" t="s">
        <v>180</v>
      </c>
      <c r="H58" s="2" t="s">
        <v>105</v>
      </c>
    </row>
    <row r="59" customFormat="false" ht="14.25" hidden="false" customHeight="false" outlineLevel="0" collapsed="false">
      <c r="A59" s="2" t="s">
        <v>181</v>
      </c>
      <c r="B59" s="2" t="s">
        <v>40</v>
      </c>
      <c r="C59" s="2" t="s">
        <v>41</v>
      </c>
      <c r="D59" s="2" t="s">
        <v>182</v>
      </c>
      <c r="E59" s="2" t="n">
        <v>744</v>
      </c>
      <c r="F59" s="2"/>
      <c r="G59" s="2" t="s">
        <v>183</v>
      </c>
      <c r="H59" s="2" t="s">
        <v>105</v>
      </c>
    </row>
    <row r="60" customFormat="false" ht="14.25" hidden="false" customHeight="false" outlineLevel="0" collapsed="false">
      <c r="A60" s="2" t="s">
        <v>184</v>
      </c>
      <c r="B60" s="2" t="s">
        <v>40</v>
      </c>
      <c r="C60" s="2" t="s">
        <v>41</v>
      </c>
      <c r="D60" s="2" t="s">
        <v>185</v>
      </c>
      <c r="E60" s="2" t="n">
        <v>745</v>
      </c>
      <c r="F60" s="2"/>
      <c r="G60" s="2" t="s">
        <v>186</v>
      </c>
      <c r="H60" s="2" t="s">
        <v>105</v>
      </c>
    </row>
    <row r="61" customFormat="false" ht="14.25" hidden="false" customHeight="false" outlineLevel="0" collapsed="false">
      <c r="A61" s="2" t="s">
        <v>187</v>
      </c>
      <c r="B61" s="2" t="s">
        <v>40</v>
      </c>
      <c r="C61" s="2" t="s">
        <v>41</v>
      </c>
      <c r="D61" s="2" t="s">
        <v>188</v>
      </c>
      <c r="E61" s="2" t="n">
        <v>746</v>
      </c>
      <c r="F61" s="2"/>
      <c r="G61" s="2" t="s">
        <v>189</v>
      </c>
      <c r="H61" s="2" t="s">
        <v>105</v>
      </c>
    </row>
    <row r="62" customFormat="false" ht="14.25" hidden="false" customHeight="false" outlineLevel="0" collapsed="false">
      <c r="A62" s="2" t="s">
        <v>190</v>
      </c>
      <c r="B62" s="2" t="s">
        <v>40</v>
      </c>
      <c r="C62" s="2" t="s">
        <v>41</v>
      </c>
      <c r="D62" s="2" t="s">
        <v>191</v>
      </c>
      <c r="E62" s="2" t="n">
        <v>747</v>
      </c>
      <c r="F62" s="2"/>
      <c r="G62" s="2" t="s">
        <v>192</v>
      </c>
      <c r="H62" s="2" t="s">
        <v>105</v>
      </c>
    </row>
    <row r="63" customFormat="false" ht="14.25" hidden="false" customHeight="false" outlineLevel="0" collapsed="false">
      <c r="A63" s="2" t="s">
        <v>193</v>
      </c>
      <c r="B63" s="2" t="s">
        <v>40</v>
      </c>
      <c r="C63" s="2" t="s">
        <v>41</v>
      </c>
      <c r="D63" s="2" t="s">
        <v>194</v>
      </c>
      <c r="E63" s="2" t="n">
        <v>748</v>
      </c>
      <c r="F63" s="2"/>
      <c r="G63" s="2" t="s">
        <v>195</v>
      </c>
      <c r="H63" s="2" t="s">
        <v>105</v>
      </c>
    </row>
    <row r="64" customFormat="false" ht="14.25" hidden="false" customHeight="false" outlineLevel="0" collapsed="false">
      <c r="A64" s="2" t="s">
        <v>196</v>
      </c>
      <c r="B64" s="2" t="s">
        <v>40</v>
      </c>
      <c r="C64" s="2" t="s">
        <v>41</v>
      </c>
      <c r="D64" s="2" t="s">
        <v>197</v>
      </c>
      <c r="E64" s="2" t="n">
        <v>749</v>
      </c>
      <c r="F64" s="2"/>
      <c r="G64" s="2" t="s">
        <v>198</v>
      </c>
      <c r="H64" s="2" t="s">
        <v>105</v>
      </c>
    </row>
    <row r="65" customFormat="false" ht="14.25" hidden="false" customHeight="false" outlineLevel="0" collapsed="false">
      <c r="A65" s="2" t="s">
        <v>199</v>
      </c>
      <c r="B65" s="2" t="s">
        <v>40</v>
      </c>
      <c r="C65" s="2" t="s">
        <v>41</v>
      </c>
      <c r="D65" s="2" t="s">
        <v>200</v>
      </c>
      <c r="E65" s="2" t="n">
        <v>750</v>
      </c>
      <c r="F65" s="2"/>
      <c r="G65" s="2" t="s">
        <v>201</v>
      </c>
      <c r="H65" s="2" t="s">
        <v>105</v>
      </c>
    </row>
    <row r="66" customFormat="false" ht="14.25" hidden="false" customHeight="false" outlineLevel="0" collapsed="false">
      <c r="A66" s="2" t="s">
        <v>202</v>
      </c>
      <c r="B66" s="2" t="s">
        <v>40</v>
      </c>
      <c r="C66" s="2" t="s">
        <v>41</v>
      </c>
      <c r="D66" s="2" t="s">
        <v>203</v>
      </c>
      <c r="E66" s="2" t="n">
        <v>751</v>
      </c>
      <c r="F66" s="2"/>
      <c r="G66" s="2" t="s">
        <v>204</v>
      </c>
      <c r="H66" s="2" t="s">
        <v>105</v>
      </c>
    </row>
    <row r="67" customFormat="false" ht="14.25" hidden="false" customHeight="false" outlineLevel="0" collapsed="false">
      <c r="A67" s="2" t="s">
        <v>205</v>
      </c>
      <c r="B67" s="2" t="s">
        <v>40</v>
      </c>
      <c r="C67" s="2" t="s">
        <v>41</v>
      </c>
      <c r="D67" s="2" t="s">
        <v>206</v>
      </c>
      <c r="E67" s="2" t="n">
        <v>752</v>
      </c>
      <c r="F67" s="2"/>
      <c r="G67" s="2" t="s">
        <v>207</v>
      </c>
      <c r="H67" s="2" t="s">
        <v>105</v>
      </c>
    </row>
    <row r="68" customFormat="false" ht="14.25" hidden="false" customHeight="false" outlineLevel="0" collapsed="false">
      <c r="A68" s="2" t="s">
        <v>208</v>
      </c>
      <c r="B68" s="2" t="s">
        <v>40</v>
      </c>
      <c r="C68" s="2" t="s">
        <v>41</v>
      </c>
      <c r="D68" s="2" t="s">
        <v>209</v>
      </c>
      <c r="E68" s="2" t="n">
        <v>753</v>
      </c>
      <c r="F68" s="2"/>
      <c r="G68" s="2" t="s">
        <v>207</v>
      </c>
      <c r="H68" s="2" t="s">
        <v>105</v>
      </c>
    </row>
    <row r="69" customFormat="false" ht="14.25" hidden="false" customHeight="false" outlineLevel="0" collapsed="false">
      <c r="A69" s="5" t="s">
        <v>210</v>
      </c>
      <c r="B69" s="5" t="s">
        <v>40</v>
      </c>
      <c r="C69" s="5" t="s">
        <v>41</v>
      </c>
      <c r="D69" s="5" t="s">
        <v>211</v>
      </c>
      <c r="E69" s="5" t="n">
        <v>754</v>
      </c>
      <c r="F69" s="5"/>
      <c r="G69" s="5" t="s">
        <v>212</v>
      </c>
      <c r="H69" s="2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41" activeCellId="0" sqref="L41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16.33"/>
    <col collapsed="false" customWidth="true" hidden="false" outlineLevel="0" max="3" min="3" style="0" width="19.44"/>
    <col collapsed="false" customWidth="true" hidden="false" outlineLevel="0" max="4" min="4" style="0" width="17.56"/>
    <col collapsed="false" customWidth="true" hidden="false" outlineLevel="0" max="5" min="5" style="0" width="16.44"/>
    <col collapsed="false" customWidth="true" hidden="false" outlineLevel="0" max="6" min="6" style="0" width="12.66"/>
    <col collapsed="false" customWidth="true" hidden="false" outlineLevel="0" max="7" min="7" style="0" width="41"/>
  </cols>
  <sheetData>
    <row r="1" customFormat="false" ht="14.25" hidden="false" customHeight="false" outlineLevel="0" collapsed="false">
      <c r="A1" s="1" t="s">
        <v>0</v>
      </c>
      <c r="B1" s="1" t="s">
        <v>213</v>
      </c>
      <c r="C1" s="1" t="s">
        <v>2</v>
      </c>
      <c r="D1" s="1" t="s">
        <v>214</v>
      </c>
      <c r="E1" s="1" t="s">
        <v>215</v>
      </c>
      <c r="F1" s="1" t="s">
        <v>5</v>
      </c>
      <c r="G1" s="1" t="s">
        <v>216</v>
      </c>
    </row>
    <row r="2" customFormat="false" ht="14.25" hidden="false" customHeight="false" outlineLevel="0" collapsed="false">
      <c r="A2" s="6" t="s">
        <v>217</v>
      </c>
      <c r="B2" s="6" t="s">
        <v>9</v>
      </c>
      <c r="C2" s="6" t="s">
        <v>10</v>
      </c>
      <c r="D2" s="6" t="s">
        <v>218</v>
      </c>
      <c r="E2" s="6" t="n">
        <v>101</v>
      </c>
      <c r="F2" s="6"/>
      <c r="G2" s="6" t="s">
        <v>219</v>
      </c>
    </row>
    <row r="3" customFormat="false" ht="14.25" hidden="false" customHeight="false" outlineLevel="0" collapsed="false">
      <c r="A3" s="6" t="s">
        <v>220</v>
      </c>
      <c r="B3" s="6" t="s">
        <v>9</v>
      </c>
      <c r="C3" s="6" t="s">
        <v>10</v>
      </c>
      <c r="D3" s="6" t="s">
        <v>221</v>
      </c>
      <c r="E3" s="6" t="n">
        <v>100</v>
      </c>
      <c r="F3" s="6"/>
      <c r="G3" s="6" t="s">
        <v>222</v>
      </c>
    </row>
    <row r="4" customFormat="false" ht="14.25" hidden="false" customHeight="false" outlineLevel="0" collapsed="false">
      <c r="A4" s="6" t="s">
        <v>223</v>
      </c>
      <c r="B4" s="6" t="s">
        <v>9</v>
      </c>
      <c r="C4" s="6" t="s">
        <v>10</v>
      </c>
      <c r="D4" s="6" t="s">
        <v>224</v>
      </c>
      <c r="E4" s="6" t="n">
        <v>103</v>
      </c>
      <c r="F4" s="6"/>
      <c r="G4" s="6" t="s">
        <v>225</v>
      </c>
    </row>
    <row r="5" customFormat="false" ht="14.25" hidden="false" customHeight="false" outlineLevel="0" collapsed="false">
      <c r="A5" s="6" t="s">
        <v>226</v>
      </c>
      <c r="B5" s="6" t="s">
        <v>9</v>
      </c>
      <c r="C5" s="6" t="s">
        <v>10</v>
      </c>
      <c r="D5" s="6" t="s">
        <v>227</v>
      </c>
      <c r="E5" s="6" t="n">
        <v>102</v>
      </c>
      <c r="F5" s="6"/>
      <c r="G5" s="6" t="s">
        <v>228</v>
      </c>
    </row>
    <row r="6" customFormat="false" ht="14.25" hidden="false" customHeight="false" outlineLevel="0" collapsed="false">
      <c r="A6" s="6" t="s">
        <v>229</v>
      </c>
      <c r="B6" s="6" t="s">
        <v>9</v>
      </c>
      <c r="C6" s="6" t="s">
        <v>10</v>
      </c>
      <c r="D6" s="6" t="s">
        <v>230</v>
      </c>
      <c r="E6" s="6" t="n">
        <v>105</v>
      </c>
      <c r="F6" s="6"/>
      <c r="G6" s="6" t="s">
        <v>231</v>
      </c>
    </row>
    <row r="7" customFormat="false" ht="14.25" hidden="false" customHeight="false" outlineLevel="0" collapsed="false">
      <c r="A7" s="6" t="s">
        <v>232</v>
      </c>
      <c r="B7" s="6" t="s">
        <v>9</v>
      </c>
      <c r="C7" s="6" t="s">
        <v>10</v>
      </c>
      <c r="D7" s="6" t="s">
        <v>233</v>
      </c>
      <c r="E7" s="6" t="n">
        <v>104</v>
      </c>
      <c r="F7" s="6"/>
      <c r="G7" s="6" t="s">
        <v>234</v>
      </c>
    </row>
    <row r="8" customFormat="false" ht="14.25" hidden="false" customHeight="false" outlineLevel="0" collapsed="false">
      <c r="A8" s="6" t="s">
        <v>235</v>
      </c>
      <c r="B8" s="6" t="s">
        <v>9</v>
      </c>
      <c r="C8" s="6" t="s">
        <v>10</v>
      </c>
      <c r="D8" s="6" t="s">
        <v>236</v>
      </c>
      <c r="E8" s="6" t="n">
        <v>107</v>
      </c>
      <c r="F8" s="6"/>
      <c r="G8" s="6" t="s">
        <v>237</v>
      </c>
    </row>
    <row r="9" customFormat="false" ht="14.25" hidden="false" customHeight="false" outlineLevel="0" collapsed="false">
      <c r="A9" s="6" t="s">
        <v>238</v>
      </c>
      <c r="B9" s="6" t="s">
        <v>9</v>
      </c>
      <c r="C9" s="6" t="s">
        <v>10</v>
      </c>
      <c r="D9" s="6" t="s">
        <v>239</v>
      </c>
      <c r="E9" s="6" t="n">
        <v>106</v>
      </c>
      <c r="F9" s="6"/>
      <c r="G9" s="6" t="s">
        <v>240</v>
      </c>
    </row>
    <row r="10" customFormat="false" ht="14.25" hidden="false" customHeight="false" outlineLevel="0" collapsed="false">
      <c r="A10" s="6" t="s">
        <v>241</v>
      </c>
      <c r="B10" s="6" t="s">
        <v>9</v>
      </c>
      <c r="C10" s="6" t="s">
        <v>10</v>
      </c>
      <c r="D10" s="6" t="s">
        <v>242</v>
      </c>
      <c r="E10" s="6" t="n">
        <v>109</v>
      </c>
      <c r="F10" s="6"/>
      <c r="G10" s="6" t="s">
        <v>243</v>
      </c>
    </row>
    <row r="11" customFormat="false" ht="14.25" hidden="false" customHeight="false" outlineLevel="0" collapsed="false">
      <c r="A11" s="6" t="s">
        <v>244</v>
      </c>
      <c r="B11" s="6" t="s">
        <v>9</v>
      </c>
      <c r="C11" s="6" t="s">
        <v>10</v>
      </c>
      <c r="D11" s="6" t="s">
        <v>245</v>
      </c>
      <c r="E11" s="6" t="n">
        <v>108</v>
      </c>
      <c r="F11" s="6"/>
      <c r="G11" s="6" t="s">
        <v>246</v>
      </c>
    </row>
    <row r="12" customFormat="false" ht="14.25" hidden="false" customHeight="false" outlineLevel="0" collapsed="false">
      <c r="A12" s="6" t="s">
        <v>247</v>
      </c>
      <c r="B12" s="6" t="s">
        <v>9</v>
      </c>
      <c r="C12" s="6" t="s">
        <v>10</v>
      </c>
      <c r="D12" s="6" t="s">
        <v>248</v>
      </c>
      <c r="E12" s="6" t="n">
        <v>111</v>
      </c>
      <c r="F12" s="6"/>
      <c r="G12" s="6" t="s">
        <v>249</v>
      </c>
    </row>
    <row r="13" customFormat="false" ht="14.25" hidden="false" customHeight="false" outlineLevel="0" collapsed="false">
      <c r="A13" s="6" t="s">
        <v>250</v>
      </c>
      <c r="B13" s="6" t="s">
        <v>9</v>
      </c>
      <c r="C13" s="6" t="s">
        <v>10</v>
      </c>
      <c r="D13" s="6" t="s">
        <v>251</v>
      </c>
      <c r="E13" s="6" t="n">
        <v>110</v>
      </c>
      <c r="F13" s="6"/>
      <c r="G13" s="6" t="s">
        <v>252</v>
      </c>
    </row>
    <row r="14" customFormat="false" ht="14.25" hidden="false" customHeight="false" outlineLevel="0" collapsed="false">
      <c r="A14" s="6" t="s">
        <v>253</v>
      </c>
      <c r="B14" s="6" t="s">
        <v>9</v>
      </c>
      <c r="C14" s="6" t="s">
        <v>10</v>
      </c>
      <c r="D14" s="6" t="s">
        <v>254</v>
      </c>
      <c r="E14" s="6" t="n">
        <v>113</v>
      </c>
      <c r="F14" s="6"/>
      <c r="G14" s="6" t="s">
        <v>255</v>
      </c>
    </row>
    <row r="15" customFormat="false" ht="14.25" hidden="false" customHeight="false" outlineLevel="0" collapsed="false">
      <c r="A15" s="6" t="s">
        <v>256</v>
      </c>
      <c r="B15" s="6" t="s">
        <v>9</v>
      </c>
      <c r="C15" s="6" t="s">
        <v>10</v>
      </c>
      <c r="D15" s="6" t="s">
        <v>257</v>
      </c>
      <c r="E15" s="6" t="n">
        <v>112</v>
      </c>
      <c r="F15" s="6"/>
      <c r="G15" s="6" t="s">
        <v>258</v>
      </c>
    </row>
    <row r="16" customFormat="false" ht="14.25" hidden="false" customHeight="false" outlineLevel="0" collapsed="false">
      <c r="A16" s="6" t="s">
        <v>259</v>
      </c>
      <c r="B16" s="6" t="s">
        <v>9</v>
      </c>
      <c r="C16" s="6" t="s">
        <v>10</v>
      </c>
      <c r="D16" s="6" t="s">
        <v>260</v>
      </c>
      <c r="E16" s="6" t="n">
        <v>113</v>
      </c>
      <c r="F16" s="6"/>
      <c r="G16" s="6" t="s">
        <v>261</v>
      </c>
    </row>
    <row r="17" customFormat="false" ht="14.25" hidden="false" customHeight="false" outlineLevel="0" collapsed="false">
      <c r="A17" s="6" t="s">
        <v>262</v>
      </c>
      <c r="B17" s="6" t="s">
        <v>9</v>
      </c>
      <c r="C17" s="6" t="s">
        <v>10</v>
      </c>
      <c r="D17" s="6" t="s">
        <v>263</v>
      </c>
      <c r="E17" s="6" t="n">
        <v>114</v>
      </c>
      <c r="F17" s="6"/>
      <c r="G17" s="6" t="s">
        <v>264</v>
      </c>
    </row>
    <row r="18" customFormat="false" ht="14.25" hidden="false" customHeight="false" outlineLevel="0" collapsed="false">
      <c r="A18" s="6" t="s">
        <v>265</v>
      </c>
      <c r="B18" s="6" t="s">
        <v>9</v>
      </c>
      <c r="C18" s="6" t="s">
        <v>10</v>
      </c>
      <c r="D18" s="6" t="s">
        <v>266</v>
      </c>
      <c r="E18" s="6" t="n">
        <v>99</v>
      </c>
      <c r="F18" s="6"/>
      <c r="G18" s="6" t="s">
        <v>267</v>
      </c>
    </row>
    <row r="19" customFormat="false" ht="14.25" hidden="false" customHeight="false" outlineLevel="0" collapsed="false">
      <c r="A19" s="6" t="s">
        <v>268</v>
      </c>
      <c r="B19" s="6" t="s">
        <v>9</v>
      </c>
      <c r="C19" s="6" t="s">
        <v>10</v>
      </c>
      <c r="D19" s="6" t="s">
        <v>269</v>
      </c>
      <c r="E19" s="6" t="n">
        <v>98</v>
      </c>
      <c r="F19" s="6"/>
      <c r="G19" s="6" t="s">
        <v>270</v>
      </c>
    </row>
    <row r="20" customFormat="false" ht="14.25" hidden="false" customHeight="false" outlineLevel="0" collapsed="false">
      <c r="A20" s="6" t="s">
        <v>268</v>
      </c>
      <c r="B20" s="6" t="s">
        <v>9</v>
      </c>
      <c r="C20" s="6" t="s">
        <v>10</v>
      </c>
      <c r="D20" s="6" t="s">
        <v>218</v>
      </c>
      <c r="E20" s="6" t="n">
        <v>100</v>
      </c>
      <c r="F20" s="6"/>
      <c r="G20" s="6" t="s">
        <v>270</v>
      </c>
    </row>
    <row r="21" customFormat="false" ht="14.25" hidden="false" customHeight="false" outlineLevel="0" collapsed="false">
      <c r="A21" s="6" t="s">
        <v>268</v>
      </c>
      <c r="B21" s="6" t="s">
        <v>9</v>
      </c>
      <c r="C21" s="6" t="s">
        <v>10</v>
      </c>
      <c r="D21" s="6" t="s">
        <v>221</v>
      </c>
      <c r="E21" s="6" t="n">
        <v>101</v>
      </c>
      <c r="F21" s="6"/>
      <c r="G21" s="6" t="s">
        <v>270</v>
      </c>
    </row>
    <row r="22" customFormat="false" ht="14.25" hidden="false" customHeight="false" outlineLevel="0" collapsed="false">
      <c r="A22" s="6" t="s">
        <v>268</v>
      </c>
      <c r="B22" s="6" t="s">
        <v>9</v>
      </c>
      <c r="C22" s="6" t="s">
        <v>10</v>
      </c>
      <c r="D22" s="6" t="s">
        <v>271</v>
      </c>
      <c r="E22" s="6" t="n">
        <v>99</v>
      </c>
      <c r="F22" s="6"/>
      <c r="G22" s="6" t="s">
        <v>270</v>
      </c>
    </row>
    <row r="23" customFormat="false" ht="14.25" hidden="false" customHeight="false" outlineLevel="0" collapsed="false">
      <c r="A23" s="6" t="s">
        <v>268</v>
      </c>
      <c r="B23" s="6" t="s">
        <v>9</v>
      </c>
      <c r="C23" s="6" t="s">
        <v>10</v>
      </c>
      <c r="D23" s="6" t="s">
        <v>269</v>
      </c>
      <c r="E23" s="6" t="n">
        <v>99</v>
      </c>
      <c r="F23" s="6"/>
      <c r="G23" s="6" t="s">
        <v>270</v>
      </c>
    </row>
    <row r="24" customFormat="false" ht="14.25" hidden="false" customHeight="false" outlineLevel="0" collapsed="false">
      <c r="A24" s="7" t="s">
        <v>161</v>
      </c>
      <c r="B24" s="7" t="s">
        <v>9</v>
      </c>
      <c r="C24" s="7" t="s">
        <v>10</v>
      </c>
      <c r="D24" s="7" t="s">
        <v>272</v>
      </c>
      <c r="E24" s="7" t="n">
        <v>1001</v>
      </c>
      <c r="F24" s="7"/>
      <c r="G24" s="7" t="s">
        <v>162</v>
      </c>
    </row>
    <row r="25" customFormat="false" ht="14.25" hidden="false" customHeight="false" outlineLevel="0" collapsed="false">
      <c r="A25" s="7" t="s">
        <v>273</v>
      </c>
      <c r="B25" s="7" t="s">
        <v>9</v>
      </c>
      <c r="C25" s="7" t="s">
        <v>10</v>
      </c>
      <c r="D25" s="7" t="s">
        <v>274</v>
      </c>
      <c r="E25" s="7" t="n">
        <v>1002</v>
      </c>
      <c r="F25" s="7"/>
      <c r="G25" s="7" t="s">
        <v>275</v>
      </c>
    </row>
    <row r="26" customFormat="false" ht="14.25" hidden="false" customHeight="false" outlineLevel="0" collapsed="false">
      <c r="A26" s="7" t="s">
        <v>163</v>
      </c>
      <c r="B26" s="7" t="s">
        <v>9</v>
      </c>
      <c r="C26" s="7" t="s">
        <v>10</v>
      </c>
      <c r="D26" s="7" t="s">
        <v>276</v>
      </c>
      <c r="E26" s="7" t="n">
        <v>1003</v>
      </c>
      <c r="F26" s="7"/>
      <c r="G26" s="7" t="s">
        <v>277</v>
      </c>
    </row>
    <row r="27" customFormat="false" ht="14.25" hidden="false" customHeight="false" outlineLevel="0" collapsed="false">
      <c r="A27" s="8" t="s">
        <v>165</v>
      </c>
      <c r="B27" s="8" t="s">
        <v>9</v>
      </c>
      <c r="C27" s="8" t="s">
        <v>10</v>
      </c>
      <c r="D27" s="8" t="s">
        <v>278</v>
      </c>
      <c r="E27" s="8" t="n">
        <v>1006</v>
      </c>
      <c r="F27" s="8"/>
      <c r="G27" s="8" t="s">
        <v>166</v>
      </c>
    </row>
    <row r="28" customFormat="false" ht="14.25" hidden="false" customHeight="false" outlineLevel="0" collapsed="false">
      <c r="A28" s="7" t="s">
        <v>279</v>
      </c>
      <c r="B28" s="7" t="s">
        <v>9</v>
      </c>
      <c r="C28" s="7" t="s">
        <v>10</v>
      </c>
      <c r="D28" s="7" t="s">
        <v>280</v>
      </c>
      <c r="E28" s="7" t="n">
        <v>1007</v>
      </c>
      <c r="F28" s="7"/>
      <c r="G28" s="7" t="s">
        <v>281</v>
      </c>
    </row>
    <row r="29" customFormat="false" ht="14.25" hidden="false" customHeight="false" outlineLevel="0" collapsed="false">
      <c r="A29" s="9" t="s">
        <v>282</v>
      </c>
      <c r="B29" s="9" t="s">
        <v>283</v>
      </c>
      <c r="C29" s="9" t="s">
        <v>284</v>
      </c>
      <c r="D29" s="9" t="s">
        <v>285</v>
      </c>
      <c r="E29" s="9"/>
      <c r="F29" s="9"/>
      <c r="G29" s="9" t="s">
        <v>286</v>
      </c>
    </row>
    <row r="30" customFormat="false" ht="14.25" hidden="false" customHeight="false" outlineLevel="0" collapsed="false">
      <c r="A30" s="9" t="s">
        <v>287</v>
      </c>
      <c r="B30" s="9" t="s">
        <v>283</v>
      </c>
      <c r="C30" s="9" t="s">
        <v>284</v>
      </c>
      <c r="D30" s="9" t="s">
        <v>288</v>
      </c>
      <c r="E30" s="9"/>
      <c r="F30" s="9"/>
      <c r="G30" s="9" t="s">
        <v>289</v>
      </c>
    </row>
    <row r="31" customFormat="false" ht="14.25" hidden="false" customHeight="false" outlineLevel="0" collapsed="false">
      <c r="A31" s="9" t="s">
        <v>290</v>
      </c>
      <c r="B31" s="9" t="s">
        <v>283</v>
      </c>
      <c r="C31" s="9" t="s">
        <v>284</v>
      </c>
      <c r="D31" s="9" t="s">
        <v>291</v>
      </c>
      <c r="E31" s="9"/>
      <c r="F31" s="9"/>
      <c r="G31" s="9" t="s">
        <v>292</v>
      </c>
    </row>
    <row r="32" customFormat="false" ht="14.25" hidden="false" customHeight="false" outlineLevel="0" collapsed="false">
      <c r="A32" s="9" t="s">
        <v>293</v>
      </c>
      <c r="B32" s="9" t="s">
        <v>283</v>
      </c>
      <c r="C32" s="9" t="s">
        <v>284</v>
      </c>
      <c r="D32" s="9" t="s">
        <v>294</v>
      </c>
      <c r="E32" s="9"/>
      <c r="F32" s="9"/>
      <c r="G32" s="9" t="s">
        <v>295</v>
      </c>
    </row>
    <row r="33" customFormat="false" ht="14.25" hidden="false" customHeight="false" outlineLevel="0" collapsed="false">
      <c r="A33" s="9" t="s">
        <v>296</v>
      </c>
      <c r="B33" s="9" t="s">
        <v>283</v>
      </c>
      <c r="C33" s="9" t="s">
        <v>284</v>
      </c>
      <c r="D33" s="9" t="s">
        <v>297</v>
      </c>
      <c r="E33" s="9"/>
      <c r="F33" s="9"/>
      <c r="G33" s="9" t="s">
        <v>298</v>
      </c>
    </row>
    <row r="34" customFormat="false" ht="14.25" hidden="false" customHeight="false" outlineLevel="0" collapsed="false">
      <c r="A34" s="9" t="s">
        <v>299</v>
      </c>
      <c r="B34" s="9" t="s">
        <v>283</v>
      </c>
      <c r="C34" s="9" t="s">
        <v>284</v>
      </c>
      <c r="D34" s="9" t="s">
        <v>300</v>
      </c>
      <c r="E34" s="9"/>
      <c r="F34" s="9"/>
      <c r="G34" s="9" t="s">
        <v>301</v>
      </c>
    </row>
    <row r="35" customFormat="false" ht="14.25" hidden="false" customHeight="false" outlineLevel="0" collapsed="false">
      <c r="A35" s="9" t="s">
        <v>302</v>
      </c>
      <c r="B35" s="9" t="s">
        <v>283</v>
      </c>
      <c r="C35" s="9" t="s">
        <v>284</v>
      </c>
      <c r="D35" s="9" t="s">
        <v>303</v>
      </c>
      <c r="E35" s="9"/>
      <c r="F35" s="9"/>
      <c r="G35" s="9" t="s">
        <v>304</v>
      </c>
    </row>
    <row r="36" customFormat="false" ht="14.25" hidden="false" customHeight="false" outlineLevel="0" collapsed="false">
      <c r="A36" s="9" t="s">
        <v>305</v>
      </c>
      <c r="B36" s="9" t="s">
        <v>283</v>
      </c>
      <c r="C36" s="9" t="s">
        <v>284</v>
      </c>
      <c r="D36" s="9" t="s">
        <v>306</v>
      </c>
      <c r="E36" s="9"/>
      <c r="F36" s="9"/>
      <c r="G36" s="9" t="s">
        <v>307</v>
      </c>
    </row>
    <row r="37" customFormat="false" ht="14.25" hidden="false" customHeight="false" outlineLevel="0" collapsed="false">
      <c r="A37" s="8" t="s">
        <v>308</v>
      </c>
      <c r="B37" s="8" t="s">
        <v>283</v>
      </c>
      <c r="C37" s="8" t="s">
        <v>284</v>
      </c>
      <c r="D37" s="8" t="s">
        <v>309</v>
      </c>
      <c r="E37" s="8"/>
      <c r="F37" s="8" t="n">
        <v>0</v>
      </c>
      <c r="G37" s="8" t="s">
        <v>310</v>
      </c>
    </row>
    <row r="38" customFormat="false" ht="14.25" hidden="false" customHeight="false" outlineLevel="0" collapsed="false">
      <c r="A38" s="9" t="s">
        <v>311</v>
      </c>
      <c r="B38" s="9" t="s">
        <v>283</v>
      </c>
      <c r="C38" s="9" t="s">
        <v>284</v>
      </c>
      <c r="D38" s="9" t="s">
        <v>312</v>
      </c>
      <c r="E38" s="9"/>
      <c r="F38" s="9" t="n">
        <v>0</v>
      </c>
      <c r="G38" s="9" t="s">
        <v>313</v>
      </c>
    </row>
    <row r="39" customFormat="false" ht="14.25" hidden="false" customHeight="false" outlineLevel="0" collapsed="false">
      <c r="A39" s="7" t="s">
        <v>14</v>
      </c>
      <c r="B39" s="7" t="s">
        <v>9</v>
      </c>
      <c r="C39" s="7" t="s">
        <v>10</v>
      </c>
      <c r="D39" s="7" t="s">
        <v>11</v>
      </c>
      <c r="E39" s="7" t="n">
        <v>116</v>
      </c>
      <c r="F39" s="7"/>
      <c r="G39" s="7" t="s">
        <v>12</v>
      </c>
    </row>
    <row r="40" customFormat="false" ht="14.25" hidden="false" customHeight="false" outlineLevel="0" collapsed="false">
      <c r="A40" s="7" t="s">
        <v>8</v>
      </c>
      <c r="B40" s="7" t="s">
        <v>9</v>
      </c>
      <c r="C40" s="7" t="s">
        <v>10</v>
      </c>
      <c r="D40" s="7" t="s">
        <v>15</v>
      </c>
      <c r="E40" s="7" t="n">
        <v>117</v>
      </c>
      <c r="F40" s="7"/>
      <c r="G40" s="7" t="s">
        <v>16</v>
      </c>
    </row>
    <row r="41" customFormat="false" ht="14.25" hidden="false" customHeight="false" outlineLevel="0" collapsed="false">
      <c r="A41" s="7" t="s">
        <v>314</v>
      </c>
      <c r="B41" s="7" t="s">
        <v>283</v>
      </c>
      <c r="C41" s="7" t="s">
        <v>284</v>
      </c>
      <c r="D41" s="7" t="s">
        <v>315</v>
      </c>
      <c r="E41" s="7"/>
      <c r="F41" s="7" t="n">
        <v>0</v>
      </c>
      <c r="G41" s="7" t="s">
        <v>316</v>
      </c>
    </row>
    <row r="42" customFormat="false" ht="14.25" hidden="false" customHeight="false" outlineLevel="0" collapsed="false">
      <c r="A42" s="7" t="s">
        <v>24</v>
      </c>
      <c r="B42" s="7" t="s">
        <v>9</v>
      </c>
      <c r="C42" s="7" t="s">
        <v>10</v>
      </c>
      <c r="D42" s="7" t="s">
        <v>22</v>
      </c>
      <c r="E42" s="7" t="n">
        <v>218</v>
      </c>
      <c r="F42" s="7"/>
      <c r="G42" s="7" t="s">
        <v>23</v>
      </c>
    </row>
    <row r="43" customFormat="false" ht="14.25" hidden="false" customHeight="false" outlineLevel="0" collapsed="false">
      <c r="A43" s="7" t="s">
        <v>317</v>
      </c>
      <c r="B43" s="7" t="s">
        <v>9</v>
      </c>
      <c r="C43" s="7" t="s">
        <v>10</v>
      </c>
      <c r="D43" s="7" t="s">
        <v>25</v>
      </c>
      <c r="E43" s="7" t="n">
        <v>219</v>
      </c>
      <c r="F43" s="7"/>
      <c r="G43" s="7" t="s">
        <v>26</v>
      </c>
    </row>
    <row r="44" customFormat="false" ht="14.25" hidden="false" customHeight="false" outlineLevel="0" collapsed="false">
      <c r="A44" s="7" t="s">
        <v>39</v>
      </c>
      <c r="B44" s="7" t="s">
        <v>40</v>
      </c>
      <c r="C44" s="7" t="s">
        <v>41</v>
      </c>
      <c r="D44" s="7" t="s">
        <v>42</v>
      </c>
      <c r="E44" s="7" t="n">
        <v>700</v>
      </c>
      <c r="F44" s="7"/>
      <c r="G44" s="7" t="s">
        <v>43</v>
      </c>
    </row>
    <row r="45" customFormat="false" ht="14.25" hidden="false" customHeight="false" outlineLevel="0" collapsed="false">
      <c r="A45" s="7" t="s">
        <v>44</v>
      </c>
      <c r="B45" s="7" t="s">
        <v>40</v>
      </c>
      <c r="C45" s="7" t="s">
        <v>41</v>
      </c>
      <c r="D45" s="7" t="s">
        <v>45</v>
      </c>
      <c r="E45" s="7" t="n">
        <v>701</v>
      </c>
      <c r="F45" s="7"/>
      <c r="G45" s="7" t="s">
        <v>46</v>
      </c>
    </row>
    <row r="46" customFormat="false" ht="14.25" hidden="false" customHeight="false" outlineLevel="0" collapsed="false">
      <c r="A46" s="7" t="s">
        <v>47</v>
      </c>
      <c r="B46" s="7" t="s">
        <v>40</v>
      </c>
      <c r="C46" s="7" t="s">
        <v>41</v>
      </c>
      <c r="D46" s="7" t="s">
        <v>48</v>
      </c>
      <c r="E46" s="7" t="n">
        <v>702</v>
      </c>
      <c r="F46" s="7"/>
      <c r="G46" s="7" t="s">
        <v>49</v>
      </c>
    </row>
    <row r="47" customFormat="false" ht="14.25" hidden="false" customHeight="false" outlineLevel="0" collapsed="false">
      <c r="A47" s="7" t="s">
        <v>50</v>
      </c>
      <c r="B47" s="7" t="s">
        <v>40</v>
      </c>
      <c r="C47" s="7" t="s">
        <v>41</v>
      </c>
      <c r="D47" s="7" t="s">
        <v>51</v>
      </c>
      <c r="E47" s="7" t="n">
        <v>703</v>
      </c>
      <c r="F47" s="7"/>
      <c r="G47" s="7" t="s">
        <v>52</v>
      </c>
    </row>
    <row r="48" customFormat="false" ht="14.25" hidden="false" customHeight="false" outlineLevel="0" collapsed="false">
      <c r="A48" s="7" t="s">
        <v>53</v>
      </c>
      <c r="B48" s="7" t="s">
        <v>40</v>
      </c>
      <c r="C48" s="7" t="s">
        <v>41</v>
      </c>
      <c r="D48" s="7" t="s">
        <v>54</v>
      </c>
      <c r="E48" s="7" t="n">
        <v>704</v>
      </c>
      <c r="F48" s="7"/>
      <c r="G48" s="7" t="s">
        <v>55</v>
      </c>
    </row>
    <row r="49" customFormat="false" ht="14.25" hidden="false" customHeight="false" outlineLevel="0" collapsed="false">
      <c r="A49" s="7" t="s">
        <v>56</v>
      </c>
      <c r="B49" s="7" t="s">
        <v>40</v>
      </c>
      <c r="C49" s="7" t="s">
        <v>41</v>
      </c>
      <c r="D49" s="7" t="s">
        <v>57</v>
      </c>
      <c r="E49" s="7" t="n">
        <v>705</v>
      </c>
      <c r="F49" s="7"/>
      <c r="G49" s="7" t="s">
        <v>58</v>
      </c>
    </row>
    <row r="50" customFormat="false" ht="14.25" hidden="false" customHeight="false" outlineLevel="0" collapsed="false">
      <c r="A50" s="7" t="s">
        <v>74</v>
      </c>
      <c r="B50" s="7" t="s">
        <v>40</v>
      </c>
      <c r="C50" s="7" t="s">
        <v>41</v>
      </c>
      <c r="D50" s="7" t="s">
        <v>75</v>
      </c>
      <c r="E50" s="7" t="n">
        <v>711</v>
      </c>
      <c r="F50" s="7"/>
      <c r="G50" s="7" t="s">
        <v>76</v>
      </c>
    </row>
    <row r="51" customFormat="false" ht="14.25" hidden="false" customHeight="false" outlineLevel="0" collapsed="false">
      <c r="A51" s="7" t="s">
        <v>78</v>
      </c>
      <c r="B51" s="7" t="s">
        <v>40</v>
      </c>
      <c r="C51" s="7" t="s">
        <v>41</v>
      </c>
      <c r="D51" s="7" t="s">
        <v>79</v>
      </c>
      <c r="E51" s="7" t="n">
        <v>712</v>
      </c>
      <c r="F51" s="7"/>
      <c r="G51" s="7" t="s">
        <v>80</v>
      </c>
    </row>
    <row r="52" customFormat="false" ht="14.25" hidden="false" customHeight="false" outlineLevel="0" collapsed="false">
      <c r="A52" s="7" t="s">
        <v>81</v>
      </c>
      <c r="B52" s="7" t="s">
        <v>40</v>
      </c>
      <c r="C52" s="7" t="s">
        <v>41</v>
      </c>
      <c r="D52" s="7" t="s">
        <v>82</v>
      </c>
      <c r="E52" s="7" t="n">
        <v>715</v>
      </c>
      <c r="F52" s="10" t="b">
        <f aca="false">TRUE()</f>
        <v>1</v>
      </c>
      <c r="G52" s="7" t="s">
        <v>83</v>
      </c>
    </row>
    <row r="53" customFormat="false" ht="14.25" hidden="false" customHeight="false" outlineLevel="0" collapsed="false">
      <c r="A53" s="7" t="s">
        <v>84</v>
      </c>
      <c r="B53" s="7" t="s">
        <v>40</v>
      </c>
      <c r="C53" s="7" t="s">
        <v>41</v>
      </c>
      <c r="D53" s="7" t="s">
        <v>85</v>
      </c>
      <c r="E53" s="7" t="n">
        <v>716</v>
      </c>
      <c r="F53" s="7"/>
      <c r="G53" s="7" t="s">
        <v>83</v>
      </c>
    </row>
    <row r="54" customFormat="false" ht="14.25" hidden="false" customHeight="false" outlineLevel="0" collapsed="false">
      <c r="A54" s="8" t="s">
        <v>59</v>
      </c>
      <c r="B54" s="8" t="s">
        <v>40</v>
      </c>
      <c r="C54" s="8" t="s">
        <v>41</v>
      </c>
      <c r="D54" s="8" t="s">
        <v>60</v>
      </c>
      <c r="E54" s="8" t="n">
        <v>706</v>
      </c>
      <c r="F54" s="11" t="b">
        <f aca="false">FALSE()</f>
        <v>0</v>
      </c>
      <c r="G54" s="8" t="s">
        <v>61</v>
      </c>
    </row>
    <row r="55" customFormat="false" ht="14.25" hidden="false" customHeight="false" outlineLevel="0" collapsed="false">
      <c r="A55" s="8" t="s">
        <v>62</v>
      </c>
      <c r="B55" s="8" t="s">
        <v>40</v>
      </c>
      <c r="C55" s="8" t="s">
        <v>41</v>
      </c>
      <c r="D55" s="8" t="s">
        <v>63</v>
      </c>
      <c r="E55" s="8" t="n">
        <v>707</v>
      </c>
      <c r="F55" s="11" t="b">
        <f aca="false">FALSE()</f>
        <v>0</v>
      </c>
      <c r="G55" s="8" t="s">
        <v>64</v>
      </c>
    </row>
    <row r="56" customFormat="false" ht="14.25" hidden="false" customHeight="false" outlineLevel="0" collapsed="false">
      <c r="A56" s="8" t="s">
        <v>65</v>
      </c>
      <c r="B56" s="8" t="s">
        <v>40</v>
      </c>
      <c r="C56" s="8" t="s">
        <v>41</v>
      </c>
      <c r="D56" s="8" t="s">
        <v>66</v>
      </c>
      <c r="E56" s="8" t="n">
        <v>708</v>
      </c>
      <c r="F56" s="11" t="b">
        <f aca="false">FALSE()</f>
        <v>0</v>
      </c>
      <c r="G56" s="8" t="s">
        <v>67</v>
      </c>
    </row>
    <row r="57" customFormat="false" ht="14.25" hidden="false" customHeight="false" outlineLevel="0" collapsed="false">
      <c r="A57" s="8" t="s">
        <v>68</v>
      </c>
      <c r="B57" s="8" t="s">
        <v>40</v>
      </c>
      <c r="C57" s="8" t="s">
        <v>41</v>
      </c>
      <c r="D57" s="8" t="s">
        <v>69</v>
      </c>
      <c r="E57" s="8" t="n">
        <v>709</v>
      </c>
      <c r="F57" s="11" t="b">
        <f aca="false">FALSE()</f>
        <v>0</v>
      </c>
      <c r="G57" s="8" t="s">
        <v>70</v>
      </c>
    </row>
    <row r="58" customFormat="false" ht="14.25" hidden="false" customHeight="false" outlineLevel="0" collapsed="false">
      <c r="A58" s="8" t="s">
        <v>71</v>
      </c>
      <c r="B58" s="8" t="s">
        <v>40</v>
      </c>
      <c r="C58" s="8" t="s">
        <v>41</v>
      </c>
      <c r="D58" s="8" t="s">
        <v>72</v>
      </c>
      <c r="E58" s="8" t="n">
        <v>710</v>
      </c>
      <c r="F58" s="11" t="b">
        <f aca="false">FALSE()</f>
        <v>0</v>
      </c>
      <c r="G58" s="8" t="s">
        <v>73</v>
      </c>
    </row>
    <row r="59" customFormat="false" ht="14.25" hidden="false" customHeight="false" outlineLevel="0" collapsed="false">
      <c r="A59" s="0" t="s">
        <v>318</v>
      </c>
      <c r="B59" s="0" t="s">
        <v>283</v>
      </c>
      <c r="C59" s="0" t="s">
        <v>284</v>
      </c>
      <c r="D59" s="0" t="s">
        <v>319</v>
      </c>
      <c r="G59" s="0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3"/>
  <sheetViews>
    <sheetView showFormulas="false" showGridLines="true" showRowColHeaders="true" showZeros="true" rightToLeft="false" tabSelected="true" showOutlineSymbols="true" defaultGridColor="true" view="normal" topLeftCell="A63" colorId="64" zoomScale="100" zoomScaleNormal="100" zoomScalePageLayoutView="100" workbookViewId="0">
      <selection pane="topLeft" activeCell="M82" activeCellId="0" sqref="M82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.44"/>
    <col collapsed="false" customWidth="true" hidden="false" outlineLevel="0" max="3" min="3" style="0" width="19.11"/>
    <col collapsed="false" customWidth="true" hidden="false" outlineLevel="0" max="4" min="4" style="0" width="9.56"/>
    <col collapsed="false" customWidth="true" hidden="false" outlineLevel="0" max="7" min="7" style="0" width="42.11"/>
  </cols>
  <sheetData>
    <row r="1" customFormat="false" ht="14.25" hidden="false" customHeight="false" outlineLevel="0" collapsed="false">
      <c r="A1" s="12" t="s">
        <v>321</v>
      </c>
      <c r="B1" s="12" t="s">
        <v>9</v>
      </c>
      <c r="C1" s="12" t="s">
        <v>10</v>
      </c>
      <c r="D1" s="12" t="str">
        <f aca="false">_xlfn.CONCAT("%QW",_xlfn.valuetotext(E1,1))</f>
        <v>%QW94</v>
      </c>
      <c r="E1" s="12" t="n">
        <v>94</v>
      </c>
      <c r="F1" s="12"/>
      <c r="G1" s="12" t="s">
        <v>322</v>
      </c>
    </row>
    <row r="2" customFormat="false" ht="14.25" hidden="false" customHeight="false" outlineLevel="0" collapsed="false">
      <c r="A2" s="12" t="s">
        <v>323</v>
      </c>
      <c r="B2" s="12" t="s">
        <v>9</v>
      </c>
      <c r="C2" s="12" t="s">
        <v>10</v>
      </c>
      <c r="D2" s="12" t="str">
        <f aca="false">_xlfn.CONCAT("%QW",_xlfn.valuetotext(E2,1))</f>
        <v>%QW95</v>
      </c>
      <c r="E2" s="12" t="n">
        <v>95</v>
      </c>
      <c r="F2" s="12"/>
      <c r="G2" s="12" t="s">
        <v>324</v>
      </c>
    </row>
    <row r="3" customFormat="false" ht="14.25" hidden="false" customHeight="false" outlineLevel="0" collapsed="false">
      <c r="A3" s="12" t="s">
        <v>325</v>
      </c>
      <c r="B3" s="12" t="s">
        <v>9</v>
      </c>
      <c r="C3" s="12" t="s">
        <v>10</v>
      </c>
      <c r="D3" s="12" t="str">
        <f aca="false">_xlfn.CONCAT("%QW",_xlfn.valuetotext(E3,1))</f>
        <v>%QW96</v>
      </c>
      <c r="E3" s="12" t="n">
        <v>96</v>
      </c>
      <c r="F3" s="12"/>
      <c r="G3" s="12" t="s">
        <v>326</v>
      </c>
    </row>
    <row r="4" customFormat="false" ht="14.25" hidden="false" customHeight="false" outlineLevel="0" collapsed="false">
      <c r="A4" s="12" t="s">
        <v>327</v>
      </c>
      <c r="B4" s="12" t="s">
        <v>9</v>
      </c>
      <c r="C4" s="12" t="s">
        <v>10</v>
      </c>
      <c r="D4" s="12" t="str">
        <f aca="false">_xlfn.CONCAT("%QW",_xlfn.valuetotext(E4,1))</f>
        <v>%QW97</v>
      </c>
      <c r="E4" s="12" t="n">
        <v>97</v>
      </c>
      <c r="F4" s="12"/>
      <c r="G4" s="12" t="s">
        <v>328</v>
      </c>
    </row>
    <row r="5" customFormat="false" ht="14.25" hidden="false" customHeight="false" outlineLevel="0" collapsed="false">
      <c r="A5" s="12" t="s">
        <v>268</v>
      </c>
      <c r="B5" s="12" t="s">
        <v>9</v>
      </c>
      <c r="C5" s="12" t="s">
        <v>10</v>
      </c>
      <c r="D5" s="12" t="str">
        <f aca="false">_xlfn.CONCAT("%QW",_xlfn.valuetotext(E5,1))</f>
        <v>%QW98</v>
      </c>
      <c r="E5" s="12" t="n">
        <v>98</v>
      </c>
      <c r="F5" s="12"/>
      <c r="G5" s="12" t="s">
        <v>270</v>
      </c>
    </row>
    <row r="6" customFormat="false" ht="14.25" hidden="false" customHeight="false" outlineLevel="0" collapsed="false">
      <c r="A6" s="12" t="s">
        <v>265</v>
      </c>
      <c r="B6" s="12" t="s">
        <v>9</v>
      </c>
      <c r="C6" s="12" t="s">
        <v>10</v>
      </c>
      <c r="D6" s="12" t="str">
        <f aca="false">_xlfn.CONCAT("%QW",_xlfn.valuetotext(E6,1))</f>
        <v>%QW99</v>
      </c>
      <c r="E6" s="12" t="n">
        <v>99</v>
      </c>
      <c r="F6" s="12"/>
      <c r="G6" s="12" t="s">
        <v>267</v>
      </c>
    </row>
    <row r="7" customFormat="false" ht="14.25" hidden="false" customHeight="false" outlineLevel="0" collapsed="false">
      <c r="A7" s="12" t="s">
        <v>220</v>
      </c>
      <c r="B7" s="12" t="s">
        <v>9</v>
      </c>
      <c r="C7" s="12" t="s">
        <v>10</v>
      </c>
      <c r="D7" s="12" t="str">
        <f aca="false">_xlfn.CONCAT("%QW",_xlfn.valuetotext(E7,1))</f>
        <v>%QW100</v>
      </c>
      <c r="E7" s="12" t="n">
        <v>100</v>
      </c>
      <c r="F7" s="12"/>
      <c r="G7" s="12" t="s">
        <v>222</v>
      </c>
    </row>
    <row r="8" customFormat="false" ht="14.25" hidden="false" customHeight="false" outlineLevel="0" collapsed="false">
      <c r="A8" s="12" t="s">
        <v>217</v>
      </c>
      <c r="B8" s="12" t="s">
        <v>9</v>
      </c>
      <c r="C8" s="12" t="s">
        <v>10</v>
      </c>
      <c r="D8" s="12" t="str">
        <f aca="false">_xlfn.CONCAT("%QW",_xlfn.valuetotext(E8,1))</f>
        <v>%QW101</v>
      </c>
      <c r="E8" s="12" t="n">
        <v>101</v>
      </c>
      <c r="F8" s="12"/>
      <c r="G8" s="12" t="s">
        <v>219</v>
      </c>
    </row>
    <row r="9" customFormat="false" ht="14.25" hidden="false" customHeight="false" outlineLevel="0" collapsed="false">
      <c r="A9" s="12" t="s">
        <v>226</v>
      </c>
      <c r="B9" s="12" t="s">
        <v>9</v>
      </c>
      <c r="C9" s="12" t="s">
        <v>10</v>
      </c>
      <c r="D9" s="12" t="str">
        <f aca="false">_xlfn.CONCAT("%QW",_xlfn.valuetotext(E9,1))</f>
        <v>%QW102</v>
      </c>
      <c r="E9" s="12" t="n">
        <v>102</v>
      </c>
      <c r="F9" s="12"/>
      <c r="G9" s="12" t="s">
        <v>228</v>
      </c>
    </row>
    <row r="10" customFormat="false" ht="14.25" hidden="false" customHeight="false" outlineLevel="0" collapsed="false">
      <c r="A10" s="12" t="s">
        <v>223</v>
      </c>
      <c r="B10" s="12" t="s">
        <v>9</v>
      </c>
      <c r="C10" s="12" t="s">
        <v>10</v>
      </c>
      <c r="D10" s="12" t="str">
        <f aca="false">_xlfn.CONCAT("%QW",_xlfn.valuetotext(E10,1))</f>
        <v>%QW103</v>
      </c>
      <c r="E10" s="12" t="n">
        <v>103</v>
      </c>
      <c r="F10" s="12"/>
      <c r="G10" s="12" t="s">
        <v>225</v>
      </c>
    </row>
    <row r="11" customFormat="false" ht="14.25" hidden="false" customHeight="false" outlineLevel="0" collapsed="false">
      <c r="A11" s="12" t="s">
        <v>232</v>
      </c>
      <c r="B11" s="12" t="s">
        <v>9</v>
      </c>
      <c r="C11" s="12" t="s">
        <v>10</v>
      </c>
      <c r="D11" s="12" t="str">
        <f aca="false">_xlfn.CONCAT("%QW",_xlfn.valuetotext(E11,1))</f>
        <v>%QW104</v>
      </c>
      <c r="E11" s="12" t="n">
        <v>104</v>
      </c>
      <c r="F11" s="12"/>
      <c r="G11" s="12" t="s">
        <v>234</v>
      </c>
    </row>
    <row r="12" customFormat="false" ht="14.25" hidden="false" customHeight="false" outlineLevel="0" collapsed="false">
      <c r="A12" s="12" t="s">
        <v>229</v>
      </c>
      <c r="B12" s="12" t="s">
        <v>9</v>
      </c>
      <c r="C12" s="12" t="s">
        <v>10</v>
      </c>
      <c r="D12" s="12" t="str">
        <f aca="false">_xlfn.CONCAT("%QW",_xlfn.valuetotext(E12,1))</f>
        <v>%QW105</v>
      </c>
      <c r="E12" s="12" t="n">
        <v>105</v>
      </c>
      <c r="F12" s="12"/>
      <c r="G12" s="12" t="s">
        <v>231</v>
      </c>
    </row>
    <row r="13" customFormat="false" ht="14.25" hidden="false" customHeight="false" outlineLevel="0" collapsed="false">
      <c r="A13" s="12" t="s">
        <v>238</v>
      </c>
      <c r="B13" s="12" t="s">
        <v>9</v>
      </c>
      <c r="C13" s="12" t="s">
        <v>10</v>
      </c>
      <c r="D13" s="12" t="str">
        <f aca="false">_xlfn.CONCAT("%QW",_xlfn.valuetotext(E13,1))</f>
        <v>%QW106</v>
      </c>
      <c r="E13" s="12" t="n">
        <v>106</v>
      </c>
      <c r="F13" s="12"/>
      <c r="G13" s="12" t="s">
        <v>240</v>
      </c>
    </row>
    <row r="14" customFormat="false" ht="14.25" hidden="false" customHeight="false" outlineLevel="0" collapsed="false">
      <c r="A14" s="12" t="s">
        <v>235</v>
      </c>
      <c r="B14" s="12" t="s">
        <v>9</v>
      </c>
      <c r="C14" s="12" t="s">
        <v>10</v>
      </c>
      <c r="D14" s="12" t="str">
        <f aca="false">_xlfn.CONCAT("%QW",_xlfn.valuetotext(E14,1))</f>
        <v>%QW107</v>
      </c>
      <c r="E14" s="12" t="n">
        <v>107</v>
      </c>
      <c r="F14" s="12"/>
      <c r="G14" s="12" t="s">
        <v>237</v>
      </c>
    </row>
    <row r="15" customFormat="false" ht="14.25" hidden="false" customHeight="false" outlineLevel="0" collapsed="false">
      <c r="A15" s="12" t="s">
        <v>244</v>
      </c>
      <c r="B15" s="12" t="s">
        <v>9</v>
      </c>
      <c r="C15" s="12" t="s">
        <v>10</v>
      </c>
      <c r="D15" s="12" t="str">
        <f aca="false">_xlfn.CONCAT("%QW",_xlfn.valuetotext(E15,1))</f>
        <v>%QW108</v>
      </c>
      <c r="E15" s="12" t="n">
        <v>108</v>
      </c>
      <c r="F15" s="12"/>
      <c r="G15" s="12" t="s">
        <v>246</v>
      </c>
    </row>
    <row r="16" customFormat="false" ht="14.25" hidden="false" customHeight="false" outlineLevel="0" collapsed="false">
      <c r="A16" s="12" t="s">
        <v>241</v>
      </c>
      <c r="B16" s="12" t="s">
        <v>9</v>
      </c>
      <c r="C16" s="12" t="s">
        <v>10</v>
      </c>
      <c r="D16" s="12" t="str">
        <f aca="false">_xlfn.CONCAT("%QW",_xlfn.valuetotext(E16,1))</f>
        <v>%QW109</v>
      </c>
      <c r="E16" s="12" t="n">
        <v>109</v>
      </c>
      <c r="F16" s="12"/>
      <c r="G16" s="12" t="s">
        <v>243</v>
      </c>
    </row>
    <row r="17" customFormat="false" ht="14.25" hidden="false" customHeight="false" outlineLevel="0" collapsed="false">
      <c r="A17" s="12" t="s">
        <v>250</v>
      </c>
      <c r="B17" s="12" t="s">
        <v>9</v>
      </c>
      <c r="C17" s="12" t="s">
        <v>10</v>
      </c>
      <c r="D17" s="12" t="str">
        <f aca="false">_xlfn.CONCAT("%QW",_xlfn.valuetotext(E17,1))</f>
        <v>%QW110</v>
      </c>
      <c r="E17" s="12" t="n">
        <v>110</v>
      </c>
      <c r="F17" s="12"/>
      <c r="G17" s="12" t="s">
        <v>252</v>
      </c>
    </row>
    <row r="18" customFormat="false" ht="14.25" hidden="false" customHeight="false" outlineLevel="0" collapsed="false">
      <c r="A18" s="12" t="s">
        <v>247</v>
      </c>
      <c r="B18" s="12" t="s">
        <v>9</v>
      </c>
      <c r="C18" s="12" t="s">
        <v>10</v>
      </c>
      <c r="D18" s="12" t="str">
        <f aca="false">_xlfn.CONCAT("%QW",_xlfn.valuetotext(E18,1))</f>
        <v>%QW111</v>
      </c>
      <c r="E18" s="12" t="n">
        <v>111</v>
      </c>
      <c r="F18" s="12"/>
      <c r="G18" s="12" t="s">
        <v>249</v>
      </c>
    </row>
    <row r="19" customFormat="false" ht="14.25" hidden="false" customHeight="false" outlineLevel="0" collapsed="false">
      <c r="A19" s="12" t="s">
        <v>256</v>
      </c>
      <c r="B19" s="12" t="s">
        <v>9</v>
      </c>
      <c r="C19" s="12" t="s">
        <v>10</v>
      </c>
      <c r="D19" s="12" t="str">
        <f aca="false">_xlfn.CONCAT("%QW",_xlfn.valuetotext(E19,1))</f>
        <v>%QW112</v>
      </c>
      <c r="E19" s="12" t="n">
        <v>112</v>
      </c>
      <c r="F19" s="12"/>
      <c r="G19" s="12" t="s">
        <v>258</v>
      </c>
    </row>
    <row r="20" customFormat="false" ht="14.25" hidden="false" customHeight="false" outlineLevel="0" collapsed="false">
      <c r="A20" s="12" t="s">
        <v>253</v>
      </c>
      <c r="B20" s="12" t="s">
        <v>9</v>
      </c>
      <c r="C20" s="12" t="s">
        <v>10</v>
      </c>
      <c r="D20" s="12" t="str">
        <f aca="false">_xlfn.CONCAT("%QW",_xlfn.valuetotext(E20,1))</f>
        <v>%QW113</v>
      </c>
      <c r="E20" s="12" t="n">
        <v>113</v>
      </c>
      <c r="F20" s="12"/>
      <c r="G20" s="12" t="s">
        <v>255</v>
      </c>
    </row>
    <row r="21" customFormat="false" ht="14.25" hidden="false" customHeight="false" outlineLevel="0" collapsed="false">
      <c r="A21" s="12" t="s">
        <v>262</v>
      </c>
      <c r="B21" s="12" t="s">
        <v>9</v>
      </c>
      <c r="C21" s="12" t="s">
        <v>10</v>
      </c>
      <c r="D21" s="12" t="str">
        <f aca="false">_xlfn.CONCAT("%QW",_xlfn.valuetotext(E21,1))</f>
        <v>%QW114</v>
      </c>
      <c r="E21" s="12" t="n">
        <v>114</v>
      </c>
      <c r="F21" s="12"/>
      <c r="G21" s="12" t="s">
        <v>264</v>
      </c>
    </row>
    <row r="22" customFormat="false" ht="14.25" hidden="false" customHeight="false" outlineLevel="0" collapsed="false">
      <c r="A22" s="12" t="s">
        <v>259</v>
      </c>
      <c r="B22" s="12" t="s">
        <v>9</v>
      </c>
      <c r="C22" s="12" t="s">
        <v>10</v>
      </c>
      <c r="D22" s="12" t="str">
        <f aca="false">_xlfn.CONCAT("%QW",_xlfn.valuetotext(E22,1))</f>
        <v>%QW115</v>
      </c>
      <c r="E22" s="12" t="n">
        <v>115</v>
      </c>
      <c r="F22" s="12"/>
      <c r="G22" s="12" t="s">
        <v>261</v>
      </c>
    </row>
    <row r="23" customFormat="false" ht="14.25" hidden="false" customHeight="false" outlineLevel="0" collapsed="false">
      <c r="A23" s="13" t="s">
        <v>8</v>
      </c>
      <c r="B23" s="13" t="s">
        <v>9</v>
      </c>
      <c r="C23" s="13" t="s">
        <v>10</v>
      </c>
      <c r="D23" s="13" t="s">
        <v>11</v>
      </c>
      <c r="E23" s="13" t="n">
        <v>116</v>
      </c>
      <c r="F23" s="13"/>
      <c r="G23" s="13" t="s">
        <v>12</v>
      </c>
    </row>
    <row r="24" customFormat="false" ht="14.25" hidden="false" customHeight="false" outlineLevel="0" collapsed="false">
      <c r="A24" s="13" t="s">
        <v>14</v>
      </c>
      <c r="B24" s="13" t="s">
        <v>9</v>
      </c>
      <c r="C24" s="13" t="s">
        <v>10</v>
      </c>
      <c r="D24" s="13" t="s">
        <v>15</v>
      </c>
      <c r="E24" s="13" t="n">
        <v>117</v>
      </c>
      <c r="F24" s="13"/>
      <c r="G24" s="13" t="s">
        <v>16</v>
      </c>
    </row>
    <row r="25" customFormat="false" ht="14.25" hidden="false" customHeight="false" outlineLevel="0" collapsed="false">
      <c r="A25" s="14" t="s">
        <v>17</v>
      </c>
      <c r="B25" s="14" t="s">
        <v>9</v>
      </c>
      <c r="C25" s="14" t="s">
        <v>10</v>
      </c>
      <c r="D25" s="14" t="str">
        <f aca="false">_xlfn.CONCAT("%QW",_xlfn.valuetotext(E25,1))</f>
        <v>%QW120</v>
      </c>
      <c r="E25" s="14" t="n">
        <v>120</v>
      </c>
      <c r="F25" s="14"/>
      <c r="G25" s="14" t="s">
        <v>18</v>
      </c>
    </row>
    <row r="26" customFormat="false" ht="14.25" hidden="false" customHeight="false" outlineLevel="0" collapsed="false">
      <c r="A26" s="14" t="s">
        <v>19</v>
      </c>
      <c r="B26" s="14" t="s">
        <v>9</v>
      </c>
      <c r="C26" s="14" t="s">
        <v>10</v>
      </c>
      <c r="D26" s="14" t="str">
        <f aca="false">_xlfn.CONCAT("%QW",_xlfn.valuetotext(E26,1))</f>
        <v>%QW121</v>
      </c>
      <c r="E26" s="14" t="n">
        <v>121</v>
      </c>
      <c r="F26" s="14"/>
      <c r="G26" s="14" t="s">
        <v>20</v>
      </c>
    </row>
    <row r="27" customFormat="false" ht="14.25" hidden="false" customHeight="false" outlineLevel="0" collapsed="false">
      <c r="A27" s="13" t="s">
        <v>21</v>
      </c>
      <c r="B27" s="13" t="s">
        <v>9</v>
      </c>
      <c r="C27" s="13" t="s">
        <v>10</v>
      </c>
      <c r="D27" s="13" t="s">
        <v>22</v>
      </c>
      <c r="E27" s="13" t="n">
        <v>218</v>
      </c>
      <c r="F27" s="13"/>
      <c r="G27" s="13" t="s">
        <v>23</v>
      </c>
    </row>
    <row r="28" customFormat="false" ht="14.25" hidden="false" customHeight="false" outlineLevel="0" collapsed="false">
      <c r="A28" s="13" t="s">
        <v>24</v>
      </c>
      <c r="B28" s="13" t="s">
        <v>9</v>
      </c>
      <c r="C28" s="13" t="s">
        <v>10</v>
      </c>
      <c r="D28" s="13" t="s">
        <v>25</v>
      </c>
      <c r="E28" s="13" t="n">
        <v>219</v>
      </c>
      <c r="F28" s="13"/>
      <c r="G28" s="13" t="s">
        <v>26</v>
      </c>
    </row>
    <row r="29" customFormat="false" ht="14.25" hidden="false" customHeight="false" outlineLevel="0" collapsed="false">
      <c r="A29" s="13" t="s">
        <v>27</v>
      </c>
      <c r="B29" s="13" t="s">
        <v>9</v>
      </c>
      <c r="C29" s="13" t="s">
        <v>10</v>
      </c>
      <c r="D29" s="13" t="s">
        <v>28</v>
      </c>
      <c r="E29" s="13" t="n">
        <v>300</v>
      </c>
      <c r="F29" s="13"/>
      <c r="G29" s="13" t="s">
        <v>29</v>
      </c>
    </row>
    <row r="30" customFormat="false" ht="14.25" hidden="false" customHeight="false" outlineLevel="0" collapsed="false">
      <c r="A30" s="13" t="s">
        <v>30</v>
      </c>
      <c r="B30" s="13" t="s">
        <v>9</v>
      </c>
      <c r="C30" s="13" t="s">
        <v>10</v>
      </c>
      <c r="D30" s="13" t="s">
        <v>31</v>
      </c>
      <c r="E30" s="13" t="n">
        <v>301</v>
      </c>
      <c r="F30" s="13"/>
      <c r="G30" s="13" t="s">
        <v>32</v>
      </c>
    </row>
    <row r="31" customFormat="false" ht="14.25" hidden="false" customHeight="false" outlineLevel="0" collapsed="false">
      <c r="A31" s="13" t="s">
        <v>33</v>
      </c>
      <c r="B31" s="13" t="s">
        <v>9</v>
      </c>
      <c r="C31" s="13" t="s">
        <v>10</v>
      </c>
      <c r="D31" s="13" t="s">
        <v>34</v>
      </c>
      <c r="E31" s="13" t="n">
        <v>302</v>
      </c>
      <c r="F31" s="13"/>
      <c r="G31" s="13" t="s">
        <v>35</v>
      </c>
    </row>
    <row r="32" customFormat="false" ht="14.25" hidden="false" customHeight="false" outlineLevel="0" collapsed="false">
      <c r="A32" s="13" t="s">
        <v>36</v>
      </c>
      <c r="B32" s="13" t="s">
        <v>9</v>
      </c>
      <c r="C32" s="13" t="s">
        <v>10</v>
      </c>
      <c r="D32" s="13" t="s">
        <v>37</v>
      </c>
      <c r="E32" s="13" t="n">
        <v>303</v>
      </c>
      <c r="F32" s="13"/>
      <c r="G32" s="13" t="s">
        <v>38</v>
      </c>
    </row>
    <row r="33" customFormat="false" ht="14.25" hidden="false" customHeight="false" outlineLevel="0" collapsed="false">
      <c r="A33" s="13" t="s">
        <v>39</v>
      </c>
      <c r="B33" s="13" t="s">
        <v>40</v>
      </c>
      <c r="C33" s="13" t="s">
        <v>41</v>
      </c>
      <c r="D33" s="13" t="s">
        <v>42</v>
      </c>
      <c r="E33" s="13" t="n">
        <v>700</v>
      </c>
      <c r="F33" s="13"/>
      <c r="G33" s="13" t="s">
        <v>43</v>
      </c>
    </row>
    <row r="34" customFormat="false" ht="14.25" hidden="false" customHeight="false" outlineLevel="0" collapsed="false">
      <c r="A34" s="13" t="s">
        <v>44</v>
      </c>
      <c r="B34" s="13" t="s">
        <v>40</v>
      </c>
      <c r="C34" s="13" t="s">
        <v>41</v>
      </c>
      <c r="D34" s="13" t="s">
        <v>45</v>
      </c>
      <c r="E34" s="13" t="n">
        <v>701</v>
      </c>
      <c r="F34" s="13"/>
      <c r="G34" s="13" t="s">
        <v>46</v>
      </c>
    </row>
    <row r="35" customFormat="false" ht="14.25" hidden="false" customHeight="false" outlineLevel="0" collapsed="false">
      <c r="A35" s="13" t="s">
        <v>47</v>
      </c>
      <c r="B35" s="13" t="s">
        <v>40</v>
      </c>
      <c r="C35" s="13" t="s">
        <v>41</v>
      </c>
      <c r="D35" s="13" t="s">
        <v>48</v>
      </c>
      <c r="E35" s="13" t="n">
        <v>702</v>
      </c>
      <c r="F35" s="13"/>
      <c r="G35" s="13" t="s">
        <v>49</v>
      </c>
    </row>
    <row r="36" customFormat="false" ht="14.25" hidden="false" customHeight="false" outlineLevel="0" collapsed="false">
      <c r="A36" s="13" t="s">
        <v>50</v>
      </c>
      <c r="B36" s="13" t="s">
        <v>40</v>
      </c>
      <c r="C36" s="13" t="s">
        <v>41</v>
      </c>
      <c r="D36" s="13" t="s">
        <v>51</v>
      </c>
      <c r="E36" s="13" t="n">
        <v>703</v>
      </c>
      <c r="F36" s="13"/>
      <c r="G36" s="13" t="s">
        <v>52</v>
      </c>
    </row>
    <row r="37" customFormat="false" ht="14.25" hidden="false" customHeight="false" outlineLevel="0" collapsed="false">
      <c r="A37" s="13" t="s">
        <v>53</v>
      </c>
      <c r="B37" s="13" t="s">
        <v>40</v>
      </c>
      <c r="C37" s="13" t="s">
        <v>41</v>
      </c>
      <c r="D37" s="13" t="s">
        <v>54</v>
      </c>
      <c r="E37" s="13" t="n">
        <v>704</v>
      </c>
      <c r="F37" s="13"/>
      <c r="G37" s="13" t="s">
        <v>55</v>
      </c>
    </row>
    <row r="38" customFormat="false" ht="14.25" hidden="false" customHeight="false" outlineLevel="0" collapsed="false">
      <c r="A38" s="13" t="s">
        <v>56</v>
      </c>
      <c r="B38" s="13" t="s">
        <v>40</v>
      </c>
      <c r="C38" s="13" t="s">
        <v>41</v>
      </c>
      <c r="D38" s="13" t="s">
        <v>57</v>
      </c>
      <c r="E38" s="13" t="n">
        <v>705</v>
      </c>
      <c r="F38" s="13"/>
      <c r="G38" s="13" t="s">
        <v>58</v>
      </c>
    </row>
    <row r="39" customFormat="false" ht="14.25" hidden="false" customHeight="false" outlineLevel="0" collapsed="false">
      <c r="A39" s="14" t="s">
        <v>59</v>
      </c>
      <c r="B39" s="14" t="s">
        <v>40</v>
      </c>
      <c r="C39" s="14" t="s">
        <v>41</v>
      </c>
      <c r="D39" s="14" t="s">
        <v>60</v>
      </c>
      <c r="E39" s="14" t="n">
        <v>706</v>
      </c>
      <c r="F39" s="15" t="b">
        <f aca="false">FALSE()</f>
        <v>0</v>
      </c>
      <c r="G39" s="14" t="s">
        <v>61</v>
      </c>
    </row>
    <row r="40" customFormat="false" ht="14.25" hidden="false" customHeight="false" outlineLevel="0" collapsed="false">
      <c r="A40" s="14" t="s">
        <v>62</v>
      </c>
      <c r="B40" s="14" t="s">
        <v>40</v>
      </c>
      <c r="C40" s="14" t="s">
        <v>41</v>
      </c>
      <c r="D40" s="14" t="s">
        <v>63</v>
      </c>
      <c r="E40" s="14" t="n">
        <v>707</v>
      </c>
      <c r="F40" s="15" t="b">
        <f aca="false">FALSE()</f>
        <v>0</v>
      </c>
      <c r="G40" s="14" t="s">
        <v>64</v>
      </c>
    </row>
    <row r="41" customFormat="false" ht="14.25" hidden="false" customHeight="false" outlineLevel="0" collapsed="false">
      <c r="A41" s="14" t="s">
        <v>65</v>
      </c>
      <c r="B41" s="14" t="s">
        <v>40</v>
      </c>
      <c r="C41" s="14" t="s">
        <v>41</v>
      </c>
      <c r="D41" s="14" t="s">
        <v>66</v>
      </c>
      <c r="E41" s="14" t="n">
        <v>708</v>
      </c>
      <c r="F41" s="15" t="b">
        <f aca="false">FALSE()</f>
        <v>0</v>
      </c>
      <c r="G41" s="14" t="s">
        <v>67</v>
      </c>
    </row>
    <row r="42" customFormat="false" ht="14.25" hidden="false" customHeight="false" outlineLevel="0" collapsed="false">
      <c r="A42" s="14" t="s">
        <v>68</v>
      </c>
      <c r="B42" s="14" t="s">
        <v>40</v>
      </c>
      <c r="C42" s="14" t="s">
        <v>41</v>
      </c>
      <c r="D42" s="14" t="s">
        <v>69</v>
      </c>
      <c r="E42" s="14" t="n">
        <v>709</v>
      </c>
      <c r="F42" s="15" t="b">
        <f aca="false">FALSE()</f>
        <v>0</v>
      </c>
      <c r="G42" s="14" t="s">
        <v>70</v>
      </c>
    </row>
    <row r="43" customFormat="false" ht="14.25" hidden="false" customHeight="false" outlineLevel="0" collapsed="false">
      <c r="A43" s="14" t="s">
        <v>71</v>
      </c>
      <c r="B43" s="14" t="s">
        <v>40</v>
      </c>
      <c r="C43" s="14" t="s">
        <v>41</v>
      </c>
      <c r="D43" s="14" t="s">
        <v>72</v>
      </c>
      <c r="E43" s="14" t="n">
        <v>710</v>
      </c>
      <c r="F43" s="15" t="b">
        <f aca="false">FALSE()</f>
        <v>0</v>
      </c>
      <c r="G43" s="14" t="s">
        <v>73</v>
      </c>
    </row>
    <row r="44" customFormat="false" ht="14.25" hidden="false" customHeight="false" outlineLevel="0" collapsed="false">
      <c r="A44" s="13" t="s">
        <v>74</v>
      </c>
      <c r="B44" s="13" t="s">
        <v>40</v>
      </c>
      <c r="C44" s="13" t="s">
        <v>41</v>
      </c>
      <c r="D44" s="13" t="s">
        <v>75</v>
      </c>
      <c r="E44" s="13" t="n">
        <v>711</v>
      </c>
      <c r="F44" s="13"/>
      <c r="G44" s="13" t="s">
        <v>76</v>
      </c>
    </row>
    <row r="45" customFormat="false" ht="14.25" hidden="false" customHeight="false" outlineLevel="0" collapsed="false">
      <c r="A45" s="13" t="s">
        <v>78</v>
      </c>
      <c r="B45" s="13" t="s">
        <v>40</v>
      </c>
      <c r="C45" s="13" t="s">
        <v>41</v>
      </c>
      <c r="D45" s="13" t="s">
        <v>79</v>
      </c>
      <c r="E45" s="13" t="n">
        <v>713</v>
      </c>
      <c r="F45" s="13"/>
      <c r="G45" s="13" t="s">
        <v>80</v>
      </c>
    </row>
    <row r="46" customFormat="false" ht="14.25" hidden="false" customHeight="false" outlineLevel="0" collapsed="false">
      <c r="A46" s="13" t="s">
        <v>81</v>
      </c>
      <c r="B46" s="13" t="s">
        <v>40</v>
      </c>
      <c r="C46" s="13" t="s">
        <v>41</v>
      </c>
      <c r="D46" s="13" t="s">
        <v>82</v>
      </c>
      <c r="E46" s="13" t="n">
        <v>716</v>
      </c>
      <c r="F46" s="16" t="b">
        <f aca="false">TRUE()</f>
        <v>1</v>
      </c>
      <c r="G46" s="13" t="s">
        <v>83</v>
      </c>
    </row>
    <row r="47" customFormat="false" ht="14.25" hidden="false" customHeight="false" outlineLevel="0" collapsed="false">
      <c r="A47" s="13" t="s">
        <v>84</v>
      </c>
      <c r="B47" s="13" t="s">
        <v>40</v>
      </c>
      <c r="C47" s="13" t="s">
        <v>41</v>
      </c>
      <c r="D47" s="13" t="s">
        <v>85</v>
      </c>
      <c r="E47" s="13" t="n">
        <v>717</v>
      </c>
      <c r="F47" s="13"/>
      <c r="G47" s="13" t="s">
        <v>86</v>
      </c>
      <c r="H47" s="17"/>
    </row>
    <row r="48" customFormat="false" ht="14.25" hidden="false" customHeight="false" outlineLevel="0" collapsed="false">
      <c r="A48" s="13" t="s">
        <v>87</v>
      </c>
      <c r="B48" s="13" t="s">
        <v>40</v>
      </c>
      <c r="C48" s="13" t="s">
        <v>41</v>
      </c>
      <c r="D48" s="13" t="s">
        <v>88</v>
      </c>
      <c r="E48" s="13" t="n">
        <v>718</v>
      </c>
      <c r="F48" s="13"/>
      <c r="G48" s="13" t="s">
        <v>89</v>
      </c>
      <c r="H48" s="17"/>
    </row>
    <row r="49" customFormat="false" ht="14.25" hidden="false" customHeight="false" outlineLevel="0" collapsed="false">
      <c r="A49" s="13" t="s">
        <v>90</v>
      </c>
      <c r="B49" s="13" t="s">
        <v>40</v>
      </c>
      <c r="C49" s="13" t="s">
        <v>41</v>
      </c>
      <c r="D49" s="13" t="s">
        <v>91</v>
      </c>
      <c r="E49" s="13" t="n">
        <v>719</v>
      </c>
      <c r="F49" s="13"/>
      <c r="G49" s="13" t="s">
        <v>92</v>
      </c>
      <c r="H49" s="17"/>
    </row>
    <row r="50" customFormat="false" ht="14.25" hidden="false" customHeight="false" outlineLevel="0" collapsed="false">
      <c r="A50" s="13" t="s">
        <v>93</v>
      </c>
      <c r="B50" s="13" t="s">
        <v>40</v>
      </c>
      <c r="C50" s="13" t="s">
        <v>41</v>
      </c>
      <c r="D50" s="13" t="s">
        <v>94</v>
      </c>
      <c r="E50" s="13" t="n">
        <v>720</v>
      </c>
      <c r="F50" s="13"/>
      <c r="G50" s="13" t="s">
        <v>95</v>
      </c>
      <c r="H50" s="17"/>
    </row>
    <row r="51" customFormat="false" ht="14.25" hidden="false" customHeight="false" outlineLevel="0" collapsed="false">
      <c r="A51" s="13" t="s">
        <v>96</v>
      </c>
      <c r="B51" s="13" t="s">
        <v>40</v>
      </c>
      <c r="C51" s="13" t="s">
        <v>41</v>
      </c>
      <c r="D51" s="13" t="s">
        <v>97</v>
      </c>
      <c r="E51" s="13" t="n">
        <v>721</v>
      </c>
      <c r="F51" s="13"/>
      <c r="G51" s="13" t="s">
        <v>98</v>
      </c>
      <c r="H51" s="17"/>
    </row>
    <row r="52" customFormat="false" ht="14.25" hidden="false" customHeight="false" outlineLevel="0" collapsed="false">
      <c r="A52" s="13" t="s">
        <v>99</v>
      </c>
      <c r="B52" s="13" t="s">
        <v>40</v>
      </c>
      <c r="C52" s="13" t="s">
        <v>41</v>
      </c>
      <c r="D52" s="13" t="s">
        <v>100</v>
      </c>
      <c r="E52" s="13" t="n">
        <v>722</v>
      </c>
      <c r="F52" s="13"/>
      <c r="G52" s="13" t="s">
        <v>101</v>
      </c>
      <c r="H52" s="17"/>
    </row>
    <row r="53" customFormat="false" ht="14.25" hidden="false" customHeight="false" outlineLevel="0" collapsed="false">
      <c r="A53" s="13" t="s">
        <v>102</v>
      </c>
      <c r="B53" s="13" t="s">
        <v>40</v>
      </c>
      <c r="C53" s="13" t="s">
        <v>41</v>
      </c>
      <c r="D53" s="13" t="s">
        <v>103</v>
      </c>
      <c r="E53" s="13" t="n">
        <v>723</v>
      </c>
      <c r="F53" s="13"/>
      <c r="G53" s="13" t="s">
        <v>104</v>
      </c>
      <c r="H53" s="18"/>
    </row>
    <row r="54" customFormat="false" ht="14.25" hidden="false" customHeight="false" outlineLevel="0" collapsed="false">
      <c r="A54" s="13" t="s">
        <v>106</v>
      </c>
      <c r="B54" s="13" t="s">
        <v>40</v>
      </c>
      <c r="C54" s="13" t="s">
        <v>41</v>
      </c>
      <c r="D54" s="13" t="s">
        <v>107</v>
      </c>
      <c r="E54" s="13" t="n">
        <v>724</v>
      </c>
      <c r="F54" s="13"/>
      <c r="G54" s="13" t="s">
        <v>108</v>
      </c>
      <c r="H54" s="18"/>
    </row>
    <row r="55" customFormat="false" ht="14.25" hidden="false" customHeight="false" outlineLevel="0" collapsed="false">
      <c r="A55" s="13" t="s">
        <v>329</v>
      </c>
      <c r="B55" s="13" t="s">
        <v>40</v>
      </c>
      <c r="C55" s="13" t="s">
        <v>41</v>
      </c>
      <c r="D55" s="13" t="s">
        <v>330</v>
      </c>
      <c r="E55" s="13" t="n">
        <v>725</v>
      </c>
      <c r="F55" s="13"/>
      <c r="G55" s="13" t="s">
        <v>331</v>
      </c>
      <c r="H55" s="18"/>
    </row>
    <row r="56" customFormat="false" ht="14.25" hidden="false" customHeight="false" outlineLevel="0" collapsed="false">
      <c r="A56" s="13" t="s">
        <v>109</v>
      </c>
      <c r="B56" s="13" t="s">
        <v>40</v>
      </c>
      <c r="C56" s="13" t="s">
        <v>41</v>
      </c>
      <c r="D56" s="13" t="s">
        <v>110</v>
      </c>
      <c r="E56" s="13" t="n">
        <v>726</v>
      </c>
      <c r="F56" s="13"/>
      <c r="G56" s="13" t="s">
        <v>111</v>
      </c>
      <c r="H56" s="18"/>
    </row>
    <row r="57" customFormat="false" ht="14.25" hidden="false" customHeight="false" outlineLevel="0" collapsed="false">
      <c r="A57" s="13" t="s">
        <v>112</v>
      </c>
      <c r="B57" s="13" t="s">
        <v>40</v>
      </c>
      <c r="C57" s="13" t="s">
        <v>41</v>
      </c>
      <c r="D57" s="13" t="s">
        <v>113</v>
      </c>
      <c r="E57" s="13" t="n">
        <v>727</v>
      </c>
      <c r="F57" s="13"/>
      <c r="G57" s="13" t="s">
        <v>114</v>
      </c>
      <c r="H57" s="18"/>
    </row>
    <row r="58" customFormat="false" ht="14.25" hidden="false" customHeight="false" outlineLevel="0" collapsed="false">
      <c r="A58" s="13" t="s">
        <v>115</v>
      </c>
      <c r="B58" s="13" t="s">
        <v>40</v>
      </c>
      <c r="C58" s="13" t="s">
        <v>41</v>
      </c>
      <c r="D58" s="13" t="s">
        <v>116</v>
      </c>
      <c r="E58" s="13" t="n">
        <v>728</v>
      </c>
      <c r="F58" s="13"/>
      <c r="G58" s="13" t="s">
        <v>117</v>
      </c>
      <c r="H58" s="18"/>
    </row>
    <row r="59" customFormat="false" ht="14.25" hidden="false" customHeight="false" outlineLevel="0" collapsed="false">
      <c r="A59" s="13" t="s">
        <v>118</v>
      </c>
      <c r="B59" s="13" t="s">
        <v>40</v>
      </c>
      <c r="C59" s="13" t="s">
        <v>41</v>
      </c>
      <c r="D59" s="13" t="s">
        <v>119</v>
      </c>
      <c r="E59" s="13" t="n">
        <v>729</v>
      </c>
      <c r="F59" s="13"/>
      <c r="G59" s="13" t="s">
        <v>120</v>
      </c>
      <c r="H59" s="18"/>
    </row>
    <row r="60" customFormat="false" ht="14.25" hidden="false" customHeight="false" outlineLevel="0" collapsed="false">
      <c r="A60" s="13" t="s">
        <v>121</v>
      </c>
      <c r="B60" s="13" t="s">
        <v>40</v>
      </c>
      <c r="C60" s="13" t="s">
        <v>41</v>
      </c>
      <c r="D60" s="13" t="s">
        <v>122</v>
      </c>
      <c r="E60" s="13" t="n">
        <v>730</v>
      </c>
      <c r="F60" s="16" t="b">
        <f aca="false">TRUE()</f>
        <v>1</v>
      </c>
      <c r="G60" s="13" t="s">
        <v>123</v>
      </c>
      <c r="H60" s="18"/>
    </row>
    <row r="61" customFormat="false" ht="14.25" hidden="false" customHeight="false" outlineLevel="0" collapsed="false">
      <c r="A61" s="13" t="s">
        <v>124</v>
      </c>
      <c r="B61" s="13" t="s">
        <v>40</v>
      </c>
      <c r="C61" s="13" t="s">
        <v>41</v>
      </c>
      <c r="D61" s="13" t="s">
        <v>125</v>
      </c>
      <c r="E61" s="13" t="n">
        <v>731</v>
      </c>
      <c r="F61" s="16" t="b">
        <f aca="false">TRUE()</f>
        <v>1</v>
      </c>
      <c r="G61" s="13" t="s">
        <v>126</v>
      </c>
      <c r="H61" s="18"/>
    </row>
    <row r="62" customFormat="false" ht="14.25" hidden="false" customHeight="false" outlineLevel="0" collapsed="false">
      <c r="A62" s="13" t="s">
        <v>127</v>
      </c>
      <c r="B62" s="13" t="s">
        <v>40</v>
      </c>
      <c r="C62" s="13" t="s">
        <v>41</v>
      </c>
      <c r="D62" s="13" t="s">
        <v>128</v>
      </c>
      <c r="E62" s="13" t="n">
        <v>732</v>
      </c>
      <c r="F62" s="16" t="b">
        <f aca="false">TRUE()</f>
        <v>1</v>
      </c>
      <c r="G62" s="13" t="s">
        <v>129</v>
      </c>
      <c r="H62" s="18"/>
    </row>
    <row r="63" customFormat="false" ht="14.25" hidden="false" customHeight="false" outlineLevel="0" collapsed="false">
      <c r="A63" s="13" t="s">
        <v>130</v>
      </c>
      <c r="B63" s="13" t="s">
        <v>40</v>
      </c>
      <c r="C63" s="13" t="s">
        <v>41</v>
      </c>
      <c r="D63" s="13" t="s">
        <v>131</v>
      </c>
      <c r="E63" s="13" t="n">
        <v>733</v>
      </c>
      <c r="F63" s="16" t="b">
        <f aca="false">TRUE()</f>
        <v>1</v>
      </c>
      <c r="G63" s="13" t="s">
        <v>132</v>
      </c>
      <c r="H63" s="18"/>
    </row>
    <row r="64" customFormat="false" ht="14.25" hidden="false" customHeight="false" outlineLevel="0" collapsed="false">
      <c r="A64" s="13" t="s">
        <v>133</v>
      </c>
      <c r="B64" s="13" t="s">
        <v>40</v>
      </c>
      <c r="C64" s="13" t="s">
        <v>41</v>
      </c>
      <c r="D64" s="13" t="s">
        <v>134</v>
      </c>
      <c r="E64" s="13" t="n">
        <v>734</v>
      </c>
      <c r="F64" s="16" t="b">
        <f aca="false">TRUE()</f>
        <v>1</v>
      </c>
      <c r="G64" s="13" t="s">
        <v>135</v>
      </c>
      <c r="H64" s="18"/>
    </row>
    <row r="65" customFormat="false" ht="14.25" hidden="false" customHeight="false" outlineLevel="0" collapsed="false">
      <c r="A65" s="13" t="s">
        <v>136</v>
      </c>
      <c r="B65" s="13" t="s">
        <v>40</v>
      </c>
      <c r="C65" s="13" t="s">
        <v>41</v>
      </c>
      <c r="D65" s="13" t="s">
        <v>137</v>
      </c>
      <c r="E65" s="13" t="n">
        <v>735</v>
      </c>
      <c r="F65" s="13"/>
      <c r="G65" s="13" t="s">
        <v>138</v>
      </c>
      <c r="H65" s="18"/>
    </row>
    <row r="66" customFormat="false" ht="14.25" hidden="false" customHeight="false" outlineLevel="0" collapsed="false">
      <c r="A66" s="13" t="s">
        <v>139</v>
      </c>
      <c r="B66" s="13" t="s">
        <v>40</v>
      </c>
      <c r="C66" s="13" t="s">
        <v>41</v>
      </c>
      <c r="D66" s="13" t="s">
        <v>140</v>
      </c>
      <c r="E66" s="13" t="n">
        <v>736</v>
      </c>
      <c r="F66" s="13"/>
      <c r="G66" s="13" t="s">
        <v>141</v>
      </c>
      <c r="H66" s="18"/>
    </row>
    <row r="67" customFormat="false" ht="14.25" hidden="false" customHeight="false" outlineLevel="0" collapsed="false">
      <c r="A67" s="13" t="s">
        <v>142</v>
      </c>
      <c r="B67" s="13" t="s">
        <v>40</v>
      </c>
      <c r="C67" s="13" t="s">
        <v>41</v>
      </c>
      <c r="D67" s="13" t="s">
        <v>143</v>
      </c>
      <c r="E67" s="13" t="n">
        <v>737</v>
      </c>
      <c r="F67" s="13"/>
      <c r="G67" s="13" t="s">
        <v>144</v>
      </c>
      <c r="H67" s="18"/>
    </row>
    <row r="68" customFormat="false" ht="14.25" hidden="false" customHeight="false" outlineLevel="0" collapsed="false">
      <c r="A68" s="13" t="s">
        <v>145</v>
      </c>
      <c r="B68" s="13" t="s">
        <v>40</v>
      </c>
      <c r="C68" s="13" t="s">
        <v>41</v>
      </c>
      <c r="D68" s="13" t="s">
        <v>146</v>
      </c>
      <c r="E68" s="13" t="n">
        <v>738</v>
      </c>
      <c r="F68" s="13"/>
      <c r="G68" s="13" t="s">
        <v>147</v>
      </c>
      <c r="H68" s="18"/>
    </row>
    <row r="69" customFormat="false" ht="14.25" hidden="false" customHeight="false" outlineLevel="0" collapsed="false">
      <c r="A69" s="13" t="s">
        <v>148</v>
      </c>
      <c r="B69" s="13" t="s">
        <v>40</v>
      </c>
      <c r="C69" s="13" t="s">
        <v>41</v>
      </c>
      <c r="D69" s="13" t="s">
        <v>149</v>
      </c>
      <c r="E69" s="13" t="n">
        <v>739</v>
      </c>
      <c r="F69" s="13"/>
      <c r="G69" s="13" t="s">
        <v>150</v>
      </c>
      <c r="H69" s="18"/>
    </row>
    <row r="70" customFormat="false" ht="14.25" hidden="false" customHeight="false" outlineLevel="0" collapsed="false">
      <c r="A70" s="13" t="s">
        <v>151</v>
      </c>
      <c r="B70" s="13" t="s">
        <v>40</v>
      </c>
      <c r="C70" s="13" t="s">
        <v>41</v>
      </c>
      <c r="D70" s="13" t="s">
        <v>152</v>
      </c>
      <c r="E70" s="13" t="n">
        <v>740</v>
      </c>
      <c r="F70" s="13"/>
      <c r="G70" s="13" t="s">
        <v>153</v>
      </c>
      <c r="H70" s="18"/>
    </row>
    <row r="71" customFormat="false" ht="13.5" hidden="false" customHeight="true" outlineLevel="0" collapsed="false">
      <c r="A71" s="13" t="s">
        <v>154</v>
      </c>
      <c r="B71" s="13" t="s">
        <v>40</v>
      </c>
      <c r="C71" s="13" t="s">
        <v>41</v>
      </c>
      <c r="D71" s="13" t="s">
        <v>155</v>
      </c>
      <c r="E71" s="13" t="n">
        <v>741</v>
      </c>
      <c r="F71" s="13"/>
      <c r="G71" s="13" t="s">
        <v>156</v>
      </c>
      <c r="H71" s="18"/>
    </row>
    <row r="72" customFormat="false" ht="14.25" hidden="false" customHeight="false" outlineLevel="0" collapsed="false">
      <c r="A72" s="13" t="s">
        <v>157</v>
      </c>
      <c r="B72" s="13" t="s">
        <v>40</v>
      </c>
      <c r="C72" s="13" t="s">
        <v>41</v>
      </c>
      <c r="D72" s="13" t="s">
        <v>158</v>
      </c>
      <c r="E72" s="13" t="n">
        <v>1000</v>
      </c>
      <c r="F72" s="16" t="b">
        <f aca="false">FALSE()</f>
        <v>0</v>
      </c>
      <c r="G72" s="13" t="s">
        <v>159</v>
      </c>
      <c r="H72" s="18"/>
    </row>
    <row r="73" customFormat="false" ht="14.25" hidden="false" customHeight="false" outlineLevel="0" collapsed="false">
      <c r="A73" s="13" t="s">
        <v>161</v>
      </c>
      <c r="B73" s="13" t="s">
        <v>9</v>
      </c>
      <c r="C73" s="13" t="s">
        <v>10</v>
      </c>
      <c r="D73" s="13" t="str">
        <f aca="false">_xlfn.CONCAT("%QW",_xlfn.valuetotext(E73,1))</f>
        <v>%QW1001</v>
      </c>
      <c r="E73" s="13" t="n">
        <v>1001</v>
      </c>
      <c r="F73" s="13"/>
      <c r="G73" s="13" t="s">
        <v>162</v>
      </c>
      <c r="H73" s="18"/>
    </row>
    <row r="74" customFormat="false" ht="14.25" hidden="false" customHeight="false" outlineLevel="0" collapsed="false">
      <c r="A74" s="13" t="s">
        <v>163</v>
      </c>
      <c r="B74" s="13" t="s">
        <v>9</v>
      </c>
      <c r="C74" s="13" t="s">
        <v>10</v>
      </c>
      <c r="D74" s="13" t="str">
        <f aca="false">_xlfn.CONCAT("%QW",_xlfn.valuetotext(E74,1))</f>
        <v>%QW1003</v>
      </c>
      <c r="E74" s="13" t="n">
        <v>1003</v>
      </c>
      <c r="F74" s="13"/>
      <c r="G74" s="13" t="s">
        <v>164</v>
      </c>
      <c r="H74" s="18"/>
    </row>
    <row r="75" customFormat="false" ht="14.25" hidden="false" customHeight="false" outlineLevel="0" collapsed="false">
      <c r="A75" s="13" t="s">
        <v>165</v>
      </c>
      <c r="B75" s="13" t="s">
        <v>9</v>
      </c>
      <c r="C75" s="13" t="s">
        <v>10</v>
      </c>
      <c r="D75" s="13" t="str">
        <f aca="false">_xlfn.CONCAT("%QW",_xlfn.valuetotext(E75,1))</f>
        <v>%QW1006</v>
      </c>
      <c r="E75" s="13" t="n">
        <v>1006</v>
      </c>
      <c r="F75" s="13"/>
      <c r="G75" s="13" t="s">
        <v>166</v>
      </c>
      <c r="H75" s="18"/>
    </row>
    <row r="76" customFormat="false" ht="14.25" hidden="false" customHeight="false" outlineLevel="0" collapsed="false">
      <c r="A76" s="14" t="s">
        <v>167</v>
      </c>
      <c r="B76" s="14" t="s">
        <v>9</v>
      </c>
      <c r="C76" s="14" t="s">
        <v>10</v>
      </c>
      <c r="D76" s="14" t="str">
        <f aca="false">_xlfn.CONCAT("%QW",_xlfn.valuetotext(E76,1))</f>
        <v>%QW1009</v>
      </c>
      <c r="E76" s="14" t="n">
        <v>1009</v>
      </c>
      <c r="F76" s="14"/>
      <c r="G76" s="14" t="s">
        <v>168</v>
      </c>
      <c r="H76" s="18"/>
    </row>
    <row r="77" customFormat="false" ht="14.25" hidden="false" customHeight="false" outlineLevel="0" collapsed="false">
      <c r="A77" s="14" t="s">
        <v>169</v>
      </c>
      <c r="B77" s="14" t="s">
        <v>9</v>
      </c>
      <c r="C77" s="14" t="s">
        <v>10</v>
      </c>
      <c r="D77" s="14" t="s">
        <v>170</v>
      </c>
      <c r="E77" s="14" t="n">
        <v>1012</v>
      </c>
      <c r="F77" s="14"/>
      <c r="G77" s="14" t="s">
        <v>171</v>
      </c>
      <c r="H77" s="18"/>
    </row>
    <row r="78" customFormat="false" ht="14.25" hidden="false" customHeight="false" outlineLevel="0" collapsed="false">
      <c r="A78" s="14" t="s">
        <v>172</v>
      </c>
      <c r="B78" s="14" t="s">
        <v>9</v>
      </c>
      <c r="C78" s="14" t="s">
        <v>10</v>
      </c>
      <c r="D78" s="14" t="s">
        <v>173</v>
      </c>
      <c r="E78" s="14" t="n">
        <v>1013</v>
      </c>
      <c r="F78" s="14"/>
      <c r="G78" s="14" t="s">
        <v>174</v>
      </c>
      <c r="H78" s="18"/>
    </row>
    <row r="79" customFormat="false" ht="14.25" hidden="false" customHeight="false" outlineLevel="0" collapsed="false">
      <c r="A79" s="13" t="s">
        <v>175</v>
      </c>
      <c r="B79" s="13" t="s">
        <v>40</v>
      </c>
      <c r="C79" s="13" t="s">
        <v>41</v>
      </c>
      <c r="D79" s="13" t="s">
        <v>176</v>
      </c>
      <c r="E79" s="13" t="n">
        <v>742</v>
      </c>
      <c r="F79" s="13"/>
      <c r="G79" s="13" t="s">
        <v>177</v>
      </c>
      <c r="H79" s="18"/>
    </row>
    <row r="80" customFormat="false" ht="14.25" hidden="false" customHeight="false" outlineLevel="0" collapsed="false">
      <c r="A80" s="13" t="s">
        <v>178</v>
      </c>
      <c r="B80" s="13" t="s">
        <v>40</v>
      </c>
      <c r="C80" s="13" t="s">
        <v>41</v>
      </c>
      <c r="D80" s="13" t="s">
        <v>179</v>
      </c>
      <c r="E80" s="13" t="n">
        <v>743</v>
      </c>
      <c r="F80" s="13"/>
      <c r="G80" s="13" t="s">
        <v>180</v>
      </c>
      <c r="H80" s="18"/>
    </row>
    <row r="81" customFormat="false" ht="14.25" hidden="false" customHeight="false" outlineLevel="0" collapsed="false">
      <c r="A81" s="13" t="s">
        <v>181</v>
      </c>
      <c r="B81" s="13" t="s">
        <v>40</v>
      </c>
      <c r="C81" s="13" t="s">
        <v>41</v>
      </c>
      <c r="D81" s="13" t="s">
        <v>182</v>
      </c>
      <c r="E81" s="13" t="n">
        <v>744</v>
      </c>
      <c r="F81" s="13"/>
      <c r="G81" s="13" t="s">
        <v>183</v>
      </c>
      <c r="H81" s="18"/>
    </row>
    <row r="82" customFormat="false" ht="14.25" hidden="false" customHeight="false" outlineLevel="0" collapsed="false">
      <c r="A82" s="13" t="s">
        <v>184</v>
      </c>
      <c r="B82" s="13" t="s">
        <v>40</v>
      </c>
      <c r="C82" s="13" t="s">
        <v>41</v>
      </c>
      <c r="D82" s="13" t="s">
        <v>185</v>
      </c>
      <c r="E82" s="13" t="n">
        <v>745</v>
      </c>
      <c r="F82" s="13"/>
      <c r="G82" s="13" t="s">
        <v>186</v>
      </c>
      <c r="H82" s="18"/>
    </row>
    <row r="83" customFormat="false" ht="14.25" hidden="false" customHeight="false" outlineLevel="0" collapsed="false">
      <c r="A83" s="13" t="s">
        <v>187</v>
      </c>
      <c r="B83" s="13" t="s">
        <v>40</v>
      </c>
      <c r="C83" s="13" t="s">
        <v>41</v>
      </c>
      <c r="D83" s="13" t="s">
        <v>188</v>
      </c>
      <c r="E83" s="13" t="n">
        <v>746</v>
      </c>
      <c r="F83" s="13"/>
      <c r="G83" s="13" t="s">
        <v>189</v>
      </c>
      <c r="H83" s="18"/>
    </row>
    <row r="84" customFormat="false" ht="14.25" hidden="false" customHeight="false" outlineLevel="0" collapsed="false">
      <c r="A84" s="13" t="s">
        <v>190</v>
      </c>
      <c r="B84" s="13" t="s">
        <v>40</v>
      </c>
      <c r="C84" s="13" t="s">
        <v>41</v>
      </c>
      <c r="D84" s="13" t="s">
        <v>191</v>
      </c>
      <c r="E84" s="13" t="n">
        <v>747</v>
      </c>
      <c r="F84" s="13"/>
      <c r="G84" s="13" t="s">
        <v>192</v>
      </c>
      <c r="H84" s="18"/>
    </row>
    <row r="85" customFormat="false" ht="14.25" hidden="false" customHeight="false" outlineLevel="0" collapsed="false">
      <c r="A85" s="13" t="s">
        <v>193</v>
      </c>
      <c r="B85" s="13" t="s">
        <v>40</v>
      </c>
      <c r="C85" s="13" t="s">
        <v>41</v>
      </c>
      <c r="D85" s="13" t="s">
        <v>194</v>
      </c>
      <c r="E85" s="13" t="n">
        <v>748</v>
      </c>
      <c r="F85" s="13"/>
      <c r="G85" s="13" t="s">
        <v>195</v>
      </c>
      <c r="H85" s="18"/>
    </row>
    <row r="86" customFormat="false" ht="14.25" hidden="false" customHeight="false" outlineLevel="0" collapsed="false">
      <c r="A86" s="13" t="s">
        <v>196</v>
      </c>
      <c r="B86" s="13" t="s">
        <v>40</v>
      </c>
      <c r="C86" s="13" t="s">
        <v>41</v>
      </c>
      <c r="D86" s="13" t="s">
        <v>197</v>
      </c>
      <c r="E86" s="13" t="n">
        <v>749</v>
      </c>
      <c r="F86" s="13"/>
      <c r="G86" s="13" t="s">
        <v>198</v>
      </c>
      <c r="H86" s="18"/>
    </row>
    <row r="87" customFormat="false" ht="14.25" hidden="false" customHeight="false" outlineLevel="0" collapsed="false">
      <c r="A87" s="13" t="s">
        <v>199</v>
      </c>
      <c r="B87" s="13" t="s">
        <v>40</v>
      </c>
      <c r="C87" s="13" t="s">
        <v>41</v>
      </c>
      <c r="D87" s="13" t="s">
        <v>200</v>
      </c>
      <c r="E87" s="13" t="n">
        <v>750</v>
      </c>
      <c r="F87" s="13"/>
      <c r="G87" s="13" t="s">
        <v>201</v>
      </c>
      <c r="H87" s="18"/>
    </row>
    <row r="88" customFormat="false" ht="14.25" hidden="false" customHeight="false" outlineLevel="0" collapsed="false">
      <c r="A88" s="13" t="s">
        <v>202</v>
      </c>
      <c r="B88" s="13" t="s">
        <v>40</v>
      </c>
      <c r="C88" s="13" t="s">
        <v>41</v>
      </c>
      <c r="D88" s="13" t="s">
        <v>203</v>
      </c>
      <c r="E88" s="13" t="n">
        <v>751</v>
      </c>
      <c r="F88" s="13"/>
      <c r="G88" s="13" t="s">
        <v>204</v>
      </c>
      <c r="H88" s="18"/>
    </row>
    <row r="89" customFormat="false" ht="14.25" hidden="false" customHeight="false" outlineLevel="0" collapsed="false">
      <c r="A89" s="13" t="s">
        <v>205</v>
      </c>
      <c r="B89" s="13" t="s">
        <v>40</v>
      </c>
      <c r="C89" s="13" t="s">
        <v>41</v>
      </c>
      <c r="D89" s="13" t="s">
        <v>206</v>
      </c>
      <c r="E89" s="13" t="n">
        <v>752</v>
      </c>
      <c r="F89" s="13"/>
      <c r="G89" s="13" t="s">
        <v>207</v>
      </c>
      <c r="H89" s="18"/>
    </row>
    <row r="90" customFormat="false" ht="14.25" hidden="false" customHeight="false" outlineLevel="0" collapsed="false">
      <c r="A90" s="13" t="s">
        <v>208</v>
      </c>
      <c r="B90" s="13" t="s">
        <v>40</v>
      </c>
      <c r="C90" s="13" t="s">
        <v>41</v>
      </c>
      <c r="D90" s="13" t="s">
        <v>209</v>
      </c>
      <c r="E90" s="13" t="n">
        <v>753</v>
      </c>
      <c r="F90" s="13"/>
      <c r="G90" s="13" t="s">
        <v>207</v>
      </c>
      <c r="H90" s="18"/>
    </row>
    <row r="91" customFormat="false" ht="14.25" hidden="false" customHeight="false" outlineLevel="0" collapsed="false">
      <c r="A91" s="13" t="s">
        <v>210</v>
      </c>
      <c r="B91" s="13" t="s">
        <v>40</v>
      </c>
      <c r="C91" s="13" t="s">
        <v>41</v>
      </c>
      <c r="D91" s="13" t="s">
        <v>211</v>
      </c>
      <c r="E91" s="13" t="n">
        <v>754</v>
      </c>
      <c r="F91" s="13"/>
      <c r="G91" s="13" t="s">
        <v>212</v>
      </c>
      <c r="H91" s="18"/>
    </row>
    <row r="92" customFormat="false" ht="14.25" hidden="false" customHeight="false" outlineLevel="0" collapsed="false">
      <c r="A92" s="13" t="s">
        <v>332</v>
      </c>
      <c r="B92" s="13" t="s">
        <v>40</v>
      </c>
      <c r="C92" s="13" t="s">
        <v>41</v>
      </c>
      <c r="D92" s="13" t="s">
        <v>333</v>
      </c>
      <c r="E92" s="13" t="n">
        <v>755</v>
      </c>
      <c r="F92" s="13"/>
      <c r="G92" s="13" t="s">
        <v>334</v>
      </c>
      <c r="H92" s="18"/>
    </row>
    <row r="93" customFormat="false" ht="14.25" hidden="false" customHeight="false" outlineLevel="0" collapsed="false">
      <c r="A93" s="19" t="s">
        <v>279</v>
      </c>
      <c r="B93" s="19" t="s">
        <v>283</v>
      </c>
      <c r="C93" s="19" t="s">
        <v>284</v>
      </c>
      <c r="D93" s="19" t="s">
        <v>335</v>
      </c>
      <c r="E93" s="19"/>
      <c r="F93" s="19"/>
      <c r="G93" s="19" t="s">
        <v>336</v>
      </c>
      <c r="H93" s="17"/>
    </row>
    <row r="94" customFormat="false" ht="14.25" hidden="false" customHeight="false" outlineLevel="0" collapsed="false">
      <c r="A94" s="20" t="s">
        <v>282</v>
      </c>
      <c r="B94" s="20" t="s">
        <v>283</v>
      </c>
      <c r="C94" s="20" t="s">
        <v>284</v>
      </c>
      <c r="D94" s="20" t="s">
        <v>285</v>
      </c>
      <c r="E94" s="20"/>
      <c r="F94" s="20"/>
      <c r="G94" s="20" t="s">
        <v>286</v>
      </c>
      <c r="H94" s="17"/>
    </row>
    <row r="95" customFormat="false" ht="14.25" hidden="false" customHeight="false" outlineLevel="0" collapsed="false">
      <c r="A95" s="20" t="s">
        <v>287</v>
      </c>
      <c r="B95" s="20" t="s">
        <v>283</v>
      </c>
      <c r="C95" s="20" t="s">
        <v>284</v>
      </c>
      <c r="D95" s="20" t="s">
        <v>288</v>
      </c>
      <c r="E95" s="20"/>
      <c r="F95" s="20"/>
      <c r="G95" s="20" t="s">
        <v>289</v>
      </c>
      <c r="H95" s="17"/>
    </row>
    <row r="96" customFormat="false" ht="14.25" hidden="false" customHeight="false" outlineLevel="0" collapsed="false">
      <c r="A96" s="20" t="s">
        <v>290</v>
      </c>
      <c r="B96" s="20" t="s">
        <v>283</v>
      </c>
      <c r="C96" s="20" t="s">
        <v>284</v>
      </c>
      <c r="D96" s="20" t="s">
        <v>291</v>
      </c>
      <c r="E96" s="20"/>
      <c r="F96" s="20"/>
      <c r="G96" s="20" t="s">
        <v>292</v>
      </c>
      <c r="H96" s="17"/>
    </row>
    <row r="97" customFormat="false" ht="14.25" hidden="false" customHeight="false" outlineLevel="0" collapsed="false">
      <c r="A97" s="20" t="s">
        <v>293</v>
      </c>
      <c r="B97" s="20" t="s">
        <v>283</v>
      </c>
      <c r="C97" s="20" t="s">
        <v>284</v>
      </c>
      <c r="D97" s="20" t="s">
        <v>294</v>
      </c>
      <c r="E97" s="20"/>
      <c r="F97" s="20"/>
      <c r="G97" s="20" t="s">
        <v>295</v>
      </c>
      <c r="H97" s="17"/>
    </row>
    <row r="98" customFormat="false" ht="14.25" hidden="false" customHeight="false" outlineLevel="0" collapsed="false">
      <c r="A98" s="20" t="s">
        <v>296</v>
      </c>
      <c r="B98" s="20" t="s">
        <v>283</v>
      </c>
      <c r="C98" s="20" t="s">
        <v>284</v>
      </c>
      <c r="D98" s="20" t="s">
        <v>297</v>
      </c>
      <c r="E98" s="20"/>
      <c r="F98" s="20"/>
      <c r="G98" s="20" t="s">
        <v>298</v>
      </c>
      <c r="H98" s="17"/>
    </row>
    <row r="99" customFormat="false" ht="14.25" hidden="false" customHeight="false" outlineLevel="0" collapsed="false">
      <c r="A99" s="20" t="s">
        <v>299</v>
      </c>
      <c r="B99" s="20" t="s">
        <v>283</v>
      </c>
      <c r="C99" s="20" t="s">
        <v>284</v>
      </c>
      <c r="D99" s="20" t="s">
        <v>300</v>
      </c>
      <c r="E99" s="20"/>
      <c r="F99" s="20"/>
      <c r="G99" s="20" t="s">
        <v>301</v>
      </c>
      <c r="H99" s="17"/>
    </row>
    <row r="100" customFormat="false" ht="14.25" hidden="false" customHeight="false" outlineLevel="0" collapsed="false">
      <c r="A100" s="20" t="s">
        <v>302</v>
      </c>
      <c r="B100" s="20" t="s">
        <v>283</v>
      </c>
      <c r="C100" s="20" t="s">
        <v>284</v>
      </c>
      <c r="D100" s="20" t="s">
        <v>303</v>
      </c>
      <c r="E100" s="20"/>
      <c r="F100" s="20"/>
      <c r="G100" s="20" t="s">
        <v>304</v>
      </c>
      <c r="H100" s="17"/>
    </row>
    <row r="101" customFormat="false" ht="14.25" hidden="false" customHeight="false" outlineLevel="0" collapsed="false">
      <c r="A101" s="20" t="s">
        <v>305</v>
      </c>
      <c r="B101" s="20" t="s">
        <v>283</v>
      </c>
      <c r="C101" s="20" t="s">
        <v>284</v>
      </c>
      <c r="D101" s="20" t="s">
        <v>306</v>
      </c>
      <c r="E101" s="20"/>
      <c r="F101" s="20"/>
      <c r="G101" s="20" t="s">
        <v>307</v>
      </c>
      <c r="H101" s="17"/>
    </row>
    <row r="102" customFormat="false" ht="14.25" hidden="false" customHeight="false" outlineLevel="0" collapsed="false">
      <c r="A102" s="20" t="s">
        <v>308</v>
      </c>
      <c r="B102" s="20" t="s">
        <v>283</v>
      </c>
      <c r="C102" s="20" t="s">
        <v>284</v>
      </c>
      <c r="D102" s="20" t="s">
        <v>309</v>
      </c>
      <c r="E102" s="20"/>
      <c r="F102" s="20" t="n">
        <v>0</v>
      </c>
      <c r="G102" s="20" t="s">
        <v>310</v>
      </c>
      <c r="H102" s="17"/>
    </row>
    <row r="103" customFormat="false" ht="14.25" hidden="false" customHeight="false" outlineLevel="0" collapsed="false">
      <c r="A103" s="20" t="s">
        <v>337</v>
      </c>
      <c r="B103" s="20" t="s">
        <v>283</v>
      </c>
      <c r="C103" s="20" t="s">
        <v>284</v>
      </c>
      <c r="D103" s="20" t="s">
        <v>319</v>
      </c>
      <c r="E103" s="20"/>
      <c r="F103" s="20" t="n">
        <v>0</v>
      </c>
      <c r="G103" s="20" t="s">
        <v>338</v>
      </c>
      <c r="H103" s="17"/>
    </row>
    <row r="104" customFormat="false" ht="14.25" hidden="false" customHeight="false" outlineLevel="0" collapsed="false">
      <c r="A104" s="20" t="s">
        <v>339</v>
      </c>
      <c r="B104" s="20" t="s">
        <v>283</v>
      </c>
      <c r="C104" s="20" t="s">
        <v>284</v>
      </c>
      <c r="D104" s="20" t="s">
        <v>340</v>
      </c>
      <c r="E104" s="20"/>
      <c r="F104" s="20" t="n">
        <v>0</v>
      </c>
      <c r="G104" s="20" t="s">
        <v>341</v>
      </c>
      <c r="H104" s="17"/>
    </row>
    <row r="105" customFormat="false" ht="14.25" hidden="false" customHeight="false" outlineLevel="0" collapsed="false">
      <c r="A105" s="20" t="s">
        <v>311</v>
      </c>
      <c r="B105" s="20" t="s">
        <v>283</v>
      </c>
      <c r="C105" s="20" t="s">
        <v>284</v>
      </c>
      <c r="D105" s="20" t="s">
        <v>312</v>
      </c>
      <c r="E105" s="20"/>
      <c r="F105" s="20" t="n">
        <v>0</v>
      </c>
      <c r="G105" s="20" t="s">
        <v>313</v>
      </c>
    </row>
    <row r="106" customFormat="false" ht="14.25" hidden="false" customHeight="false" outlineLevel="0" collapsed="false">
      <c r="A106" s="20" t="s">
        <v>314</v>
      </c>
      <c r="B106" s="20" t="s">
        <v>283</v>
      </c>
      <c r="C106" s="20" t="s">
        <v>284</v>
      </c>
      <c r="D106" s="20" t="s">
        <v>315</v>
      </c>
      <c r="E106" s="20"/>
      <c r="F106" s="20" t="n">
        <v>0</v>
      </c>
      <c r="G106" s="20" t="s">
        <v>316</v>
      </c>
    </row>
    <row r="107" customFormat="false" ht="14.25" hidden="false" customHeight="false" outlineLevel="0" collapsed="false">
      <c r="A107" s="20" t="s">
        <v>342</v>
      </c>
      <c r="B107" s="20" t="s">
        <v>283</v>
      </c>
      <c r="C107" s="20" t="s">
        <v>284</v>
      </c>
      <c r="D107" s="20" t="s">
        <v>335</v>
      </c>
      <c r="E107" s="20"/>
      <c r="F107" s="20"/>
      <c r="G107" s="20" t="s">
        <v>343</v>
      </c>
    </row>
    <row r="108" customFormat="false" ht="14.25" hidden="false" customHeight="false" outlineLevel="0" collapsed="false">
      <c r="A108" s="19" t="s">
        <v>344</v>
      </c>
      <c r="B108" s="19" t="s">
        <v>283</v>
      </c>
      <c r="C108" s="19" t="s">
        <v>284</v>
      </c>
      <c r="D108" s="19" t="s">
        <v>345</v>
      </c>
      <c r="E108" s="19"/>
      <c r="F108" s="19" t="n">
        <v>0</v>
      </c>
      <c r="G108" s="19" t="s">
        <v>346</v>
      </c>
    </row>
    <row r="109" customFormat="false" ht="14.25" hidden="false" customHeight="false" outlineLevel="0" collapsed="false">
      <c r="A109" s="19" t="s">
        <v>347</v>
      </c>
      <c r="B109" s="19" t="s">
        <v>9</v>
      </c>
      <c r="C109" s="19" t="s">
        <v>10</v>
      </c>
      <c r="D109" s="19"/>
      <c r="E109" s="19"/>
      <c r="F109" s="19" t="n">
        <v>3600</v>
      </c>
      <c r="G109" s="19" t="s">
        <v>348</v>
      </c>
    </row>
    <row r="110" customFormat="false" ht="14.25" hidden="false" customHeight="false" outlineLevel="0" collapsed="false">
      <c r="A110" s="19" t="s">
        <v>349</v>
      </c>
      <c r="B110" s="19" t="s">
        <v>9</v>
      </c>
      <c r="C110" s="19" t="s">
        <v>10</v>
      </c>
      <c r="D110" s="19"/>
      <c r="E110" s="19"/>
      <c r="F110" s="19" t="n">
        <v>80</v>
      </c>
      <c r="G110" s="19" t="s">
        <v>350</v>
      </c>
    </row>
    <row r="111" customFormat="false" ht="14.25" hidden="false" customHeight="false" outlineLevel="0" collapsed="false">
      <c r="A111" s="19" t="s">
        <v>351</v>
      </c>
      <c r="B111" s="19" t="s">
        <v>283</v>
      </c>
      <c r="C111" s="19" t="s">
        <v>284</v>
      </c>
      <c r="D111" s="19"/>
      <c r="E111" s="19"/>
      <c r="F111" s="19" t="n">
        <v>1.5</v>
      </c>
      <c r="G111" s="19" t="s">
        <v>352</v>
      </c>
    </row>
    <row r="112" customFormat="false" ht="14.25" hidden="false" customHeight="false" outlineLevel="0" collapsed="false">
      <c r="A112" s="19" t="s">
        <v>353</v>
      </c>
      <c r="B112" s="19" t="s">
        <v>283</v>
      </c>
      <c r="C112" s="19" t="s">
        <v>284</v>
      </c>
      <c r="D112" s="19"/>
      <c r="E112" s="19"/>
      <c r="F112" s="19" t="n">
        <v>0.5</v>
      </c>
      <c r="G112" s="19" t="s">
        <v>354</v>
      </c>
    </row>
    <row r="113" customFormat="false" ht="14.25" hidden="false" customHeight="false" outlineLevel="0" collapsed="false">
      <c r="A113" s="19" t="s">
        <v>318</v>
      </c>
      <c r="B113" s="19" t="s">
        <v>283</v>
      </c>
      <c r="C113" s="19" t="s">
        <v>284</v>
      </c>
      <c r="D113" s="19" t="s">
        <v>355</v>
      </c>
      <c r="E113" s="19"/>
      <c r="F113" s="19"/>
      <c r="G113" s="19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2025-06-02T18:31:46Z</dcterms:created>
  <dc:creator>William Graef</dc:creator>
  <dc:description/>
  <dc:language>en-US</dc:language>
  <cp:lastModifiedBy/>
  <dcterms:modified xsi:type="dcterms:W3CDTF">2025-11-13T16:41:27Z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